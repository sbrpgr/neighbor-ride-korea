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선홍\기획실\법무규제\2025년\8. 통계연보(64회 23년 기준)\입력\"/>
    </mc:Choice>
  </mc:AlternateContent>
  <xr:revisionPtr revIDLastSave="0" documentId="13_ncr:1_{544F6C4C-102C-4ED0-BA94-268F23EF35AB}" xr6:coauthVersionLast="47" xr6:coauthVersionMax="47" xr10:uidLastSave="{00000000-0000-0000-0000-000000000000}"/>
  <bookViews>
    <workbookView xWindow="-28920" yWindow="-120" windowWidth="29040" windowHeight="15720" tabRatio="787" firstSheet="1" activeTab="1" xr2:uid="{00000000-000D-0000-FFFF-FFFF00000000}"/>
  </bookViews>
  <sheets>
    <sheet name="------" sheetId="1" state="hidden" r:id="rId1"/>
    <sheet name="목록" sheetId="2" r:id="rId2"/>
    <sheet name="1. 자동차등록" sheetId="3" r:id="rId3"/>
    <sheet name="2. 영업용자동차업종별수송" sheetId="4" r:id="rId4"/>
    <sheet name="3.철도수송" sheetId="5" r:id="rId5"/>
    <sheet name="4.관광사업체등록" sheetId="6" r:id="rId6"/>
    <sheet name="8.관광객수" sheetId="7" state="hidden" r:id="rId7"/>
    <sheet name="5.주요관광지방문객수" sheetId="8" r:id="rId8"/>
  </sheets>
  <definedNames>
    <definedName name="_xlnm._FilterDatabase" hidden="1">#REF!</definedName>
    <definedName name="_xlnm.Print_Area" localSheetId="3">'2. 영업용자동차업종별수송'!$A$1:$I$28</definedName>
    <definedName name="_xlnm.Print_Area" localSheetId="4">'3.철도수송'!$A$1:$G$31</definedName>
    <definedName name="_xlnm.Print_Area" localSheetId="5">'4.관광사업체등록'!$A$1:$AI$31</definedName>
    <definedName name="_xlnm.Print_Area" localSheetId="7">'5.주요관광지방문객수'!$A$1:$E$32</definedName>
    <definedName name="_xlnm.Print_Area" localSheetId="1">목록!$A$1:$H$15</definedName>
    <definedName name="_xlnm.Print_Are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6" i="5" l="1"/>
  <c r="E16" i="5"/>
  <c r="D16" i="5"/>
  <c r="C16" i="5"/>
  <c r="B16" i="5"/>
  <c r="D14" i="5"/>
  <c r="D28" i="8"/>
  <c r="D27" i="8"/>
  <c r="D26" i="8"/>
  <c r="D25" i="8"/>
  <c r="D24" i="8"/>
  <c r="D23" i="8"/>
  <c r="D22" i="8"/>
  <c r="D21" i="8"/>
  <c r="D20" i="8"/>
  <c r="D19" i="8"/>
  <c r="D18" i="8"/>
  <c r="D17" i="8"/>
  <c r="D15" i="8"/>
</calcChain>
</file>

<file path=xl/sharedStrings.xml><?xml version="1.0" encoding="utf-8"?>
<sst xmlns="http://schemas.openxmlformats.org/spreadsheetml/2006/main" count="398" uniqueCount="247">
  <si>
    <r>
      <t>연</t>
    </r>
    <r>
      <rPr>
        <sz val="11"/>
        <color rgb="FF000000"/>
        <rFont val="Times New Roman"/>
        <family val="1"/>
      </rPr>
      <t xml:space="preserve">    </t>
    </r>
    <r>
      <rPr>
        <sz val="11"/>
        <color rgb="FF000000"/>
        <rFont val="바탕"/>
        <family val="1"/>
        <charset val="129"/>
      </rPr>
      <t>별
월</t>
    </r>
    <r>
      <rPr>
        <sz val="11"/>
        <color rgb="FF000000"/>
        <rFont val="Times New Roman"/>
        <family val="1"/>
      </rPr>
      <t xml:space="preserve">    </t>
    </r>
    <r>
      <rPr>
        <sz val="11"/>
        <color rgb="FF000000"/>
        <rFont val="바탕"/>
        <family val="1"/>
        <charset val="129"/>
      </rPr>
      <t>별</t>
    </r>
  </si>
  <si>
    <t>Unit : person, ton, 1000 won</t>
  </si>
  <si>
    <t>Amusement Restaurants for Tourists</t>
  </si>
  <si>
    <t xml:space="preserve">관  광  객        Tourists            </t>
  </si>
  <si>
    <r>
      <t>관</t>
    </r>
    <r>
      <rPr>
        <sz val="11"/>
        <color rgb="FF000000"/>
        <rFont val="Times New Roman"/>
        <family val="1"/>
      </rPr>
      <t xml:space="preserve">  </t>
    </r>
    <r>
      <rPr>
        <sz val="11"/>
        <color rgb="FF000000"/>
        <rFont val="바탕"/>
        <family val="1"/>
        <charset val="129"/>
      </rPr>
      <t>광</t>
    </r>
    <r>
      <rPr>
        <sz val="11"/>
        <color rgb="FF000000"/>
        <rFont val="Times New Roman"/>
        <family val="1"/>
      </rPr>
      <t xml:space="preserve">  </t>
    </r>
    <r>
      <rPr>
        <sz val="11"/>
        <color rgb="FF000000"/>
        <rFont val="바탕"/>
        <family val="1"/>
        <charset val="129"/>
      </rPr>
      <t>객</t>
    </r>
    <r>
      <rPr>
        <sz val="11"/>
        <color rgb="FF000000"/>
        <rFont val="Times New Roman"/>
        <family val="1"/>
      </rPr>
      <t xml:space="preserve">        Tourists            </t>
    </r>
  </si>
  <si>
    <t>Tourist  entertainment  facilities</t>
  </si>
  <si>
    <t>계    Total</t>
  </si>
  <si>
    <r>
      <t>교통·관광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돋움"/>
        <family val="3"/>
        <charset val="129"/>
      </rPr>
      <t>및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돋움"/>
        <family val="3"/>
        <charset val="129"/>
      </rPr>
      <t>정보통신</t>
    </r>
    <r>
      <rPr>
        <sz val="10"/>
        <color rgb="FF000000"/>
        <rFont val="Arial Narrow"/>
        <family val="2"/>
      </rPr>
      <t xml:space="preserve"> 000</t>
    </r>
  </si>
  <si>
    <t>Tourism Photography</t>
  </si>
  <si>
    <t>주 : 1) 이륜자동차 미포함</t>
  </si>
  <si>
    <t>2. 영업용 자동차 업종별 수송</t>
  </si>
  <si>
    <t>Number of Tourists</t>
  </si>
  <si>
    <t>Resort complexes</t>
  </si>
  <si>
    <t>일반  General cargo</t>
  </si>
  <si>
    <t>Tourist
Restaurants</t>
  </si>
  <si>
    <t>2. 영업용 자동차  업종별 수송</t>
  </si>
  <si>
    <t>4. 관 광 사 업 체  등 록</t>
  </si>
  <si>
    <t>관 광 객  이 용 시 설 업</t>
  </si>
  <si>
    <t>여  객    Passenger</t>
  </si>
  <si>
    <t>교통·관광 및 정보통신 / 000</t>
  </si>
  <si>
    <t>화    물    Freight</t>
  </si>
  <si>
    <t>ⅩⅠ. 교통·관광 및 정보통신</t>
  </si>
  <si>
    <t>Volum of
traffic</t>
  </si>
  <si>
    <t>Transportation, Tourism and Information Telecommunications</t>
  </si>
  <si>
    <t>Number of Visitors to Major Attractions</t>
  </si>
  <si>
    <t>Unit : freight/ton,  passenger/person</t>
  </si>
  <si>
    <t>관  광  숙  박  업 Tourist  accommodations</t>
  </si>
  <si>
    <t>Guesthouses/B&amp;Bs for Foreign Tourists</t>
  </si>
  <si>
    <t>국제회의업
Organizing International Meeting</t>
  </si>
  <si>
    <t>오곡면</t>
  </si>
  <si>
    <t>고달면</t>
  </si>
  <si>
    <t>석곡면</t>
  </si>
  <si>
    <t>죽곡면</t>
  </si>
  <si>
    <t>곡성읍</t>
  </si>
  <si>
    <t>삼기면</t>
  </si>
  <si>
    <t>옥과면</t>
  </si>
  <si>
    <t>겸면</t>
  </si>
  <si>
    <t>오산면</t>
  </si>
  <si>
    <t>입면</t>
  </si>
  <si>
    <r>
      <t xml:space="preserve">8. </t>
    </r>
    <r>
      <rPr>
        <b/>
        <sz val="20"/>
        <color rgb="FF000000"/>
        <rFont val="바탕"/>
        <family val="1"/>
        <charset val="129"/>
      </rPr>
      <t>관</t>
    </r>
    <r>
      <rPr>
        <b/>
        <sz val="20"/>
        <color rgb="FF000000"/>
        <rFont val="Times New Roman"/>
        <family val="1"/>
      </rPr>
      <t xml:space="preserve"> </t>
    </r>
    <r>
      <rPr>
        <b/>
        <sz val="20"/>
        <color rgb="FF000000"/>
        <rFont val="바탕"/>
        <family val="1"/>
        <charset val="129"/>
      </rPr>
      <t>광</t>
    </r>
    <r>
      <rPr>
        <b/>
        <sz val="20"/>
        <color rgb="FF000000"/>
        <rFont val="Times New Roman"/>
        <family val="1"/>
      </rPr>
      <t xml:space="preserve"> </t>
    </r>
    <r>
      <rPr>
        <b/>
        <sz val="20"/>
        <color rgb="FF000000"/>
        <rFont val="바탕"/>
        <family val="1"/>
        <charset val="129"/>
      </rPr>
      <t>객</t>
    </r>
    <r>
      <rPr>
        <b/>
        <sz val="20"/>
        <color rgb="FF000000"/>
        <rFont val="Times New Roman"/>
        <family val="1"/>
      </rPr>
      <t xml:space="preserve"> </t>
    </r>
    <r>
      <rPr>
        <b/>
        <sz val="20"/>
        <color rgb="FF000000"/>
        <rFont val="바탕"/>
        <family val="1"/>
        <charset val="129"/>
      </rPr>
      <t>수</t>
    </r>
  </si>
  <si>
    <r>
      <t>자료</t>
    </r>
    <r>
      <rPr>
        <sz val="9"/>
        <color rgb="FF000000"/>
        <rFont val="Times New Roman"/>
        <family val="1"/>
      </rPr>
      <t xml:space="preserve"> : </t>
    </r>
    <r>
      <rPr>
        <sz val="9"/>
        <color rgb="FF000000"/>
        <rFont val="바탕"/>
        <family val="1"/>
        <charset val="129"/>
      </rPr>
      <t>관광과</t>
    </r>
  </si>
  <si>
    <r>
      <t xml:space="preserve"> </t>
    </r>
    <r>
      <rPr>
        <sz val="9"/>
        <color rgb="FF000000"/>
        <rFont val="바탕"/>
        <family val="1"/>
        <charset val="129"/>
      </rPr>
      <t>주</t>
    </r>
    <r>
      <rPr>
        <sz val="9"/>
        <color rgb="FF000000"/>
        <rFont val="Times New Roman"/>
        <family val="1"/>
      </rPr>
      <t xml:space="preserve"> : </t>
    </r>
    <r>
      <rPr>
        <sz val="9"/>
        <color rgb="FF000000"/>
        <rFont val="바탕"/>
        <family val="1"/>
        <charset val="129"/>
      </rPr>
      <t>주요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바탕"/>
        <family val="1"/>
        <charset val="129"/>
      </rPr>
      <t>관광지만을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바탕"/>
        <family val="1"/>
        <charset val="129"/>
      </rPr>
      <t>대상으로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바탕"/>
        <family val="1"/>
        <charset val="129"/>
      </rPr>
      <t>방문객수를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바탕"/>
        <family val="1"/>
        <charset val="129"/>
      </rPr>
      <t>중복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바탕"/>
        <family val="1"/>
        <charset val="129"/>
      </rPr>
      <t>집계하였기에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바탕"/>
        <family val="1"/>
        <charset val="129"/>
      </rPr>
      <t>실제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바탕"/>
        <family val="1"/>
        <charset val="129"/>
      </rPr>
      <t>방문객수와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바탕"/>
        <family val="1"/>
        <charset val="129"/>
      </rPr>
      <t>차이가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바탕"/>
        <family val="1"/>
        <charset val="129"/>
      </rPr>
      <t>있을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바탕"/>
        <family val="1"/>
        <charset val="129"/>
      </rPr>
      <t>수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바탕"/>
        <family val="1"/>
        <charset val="129"/>
      </rPr>
      <t>있음</t>
    </r>
  </si>
  <si>
    <t xml:space="preserve">     (섬진강기차마을, 압록유원지, 태안사, 도림사, 성륜사, 섬진강문화학교, 뚝방마켓 등)</t>
  </si>
  <si>
    <t xml:space="preserve"> 주 : 주요 관광지만을 대상으로 방문객수를 중복 집계하였기에 실제 방문객수와 차이가 있을 수 있음</t>
  </si>
  <si>
    <t>Year
Month</t>
  </si>
  <si>
    <t>자료 : 민원실</t>
  </si>
  <si>
    <t>Campgrounds</t>
  </si>
  <si>
    <t>Unit : each</t>
  </si>
  <si>
    <t>Facilities</t>
  </si>
  <si>
    <t>휴양콘도미니엄업</t>
  </si>
  <si>
    <t xml:space="preserve">Special </t>
  </si>
  <si>
    <t>Condominium</t>
  </si>
  <si>
    <t>외국인관광도시민박업</t>
  </si>
  <si>
    <t>자료 : 관광과</t>
  </si>
  <si>
    <t>Experience</t>
  </si>
  <si>
    <t>services</t>
  </si>
  <si>
    <t>Domestic</t>
  </si>
  <si>
    <t>Tour Buses</t>
  </si>
  <si>
    <t>이 륜 자 동 차</t>
  </si>
  <si>
    <t xml:space="preserve">        </t>
  </si>
  <si>
    <t>관광지원
서비스업</t>
  </si>
  <si>
    <t>recreation</t>
  </si>
  <si>
    <t>Foreigners</t>
  </si>
  <si>
    <t>tourists</t>
  </si>
  <si>
    <t>Arriving</t>
  </si>
  <si>
    <t>On-boarding</t>
  </si>
  <si>
    <t>Planning</t>
  </si>
  <si>
    <t>Overseas</t>
  </si>
  <si>
    <t>연  별
월  별</t>
  </si>
  <si>
    <t>Revenues</t>
  </si>
  <si>
    <t>연      별</t>
  </si>
  <si>
    <t xml:space="preserve">여    객    Passenger </t>
  </si>
  <si>
    <t>Railway Transportation</t>
  </si>
  <si>
    <t>Entertainment Theater</t>
  </si>
  <si>
    <t>Amusement Restaurants</t>
  </si>
  <si>
    <t>시내버스  Inter-city buses</t>
  </si>
  <si>
    <t>전  세    Chatered car</t>
  </si>
  <si>
    <t>개인화물  Personal cargo</t>
  </si>
  <si>
    <t>Number of
passengers</t>
  </si>
  <si>
    <t>시외버스  Intra-city  buses</t>
  </si>
  <si>
    <t xml:space="preserve"> Number of Visitors to Major Attractions</t>
  </si>
  <si>
    <t>관광사진업</t>
  </si>
  <si>
    <t>종합휴양업</t>
  </si>
  <si>
    <t>국내외여행업</t>
  </si>
  <si>
    <t>가족호텔업</t>
  </si>
  <si>
    <t>관광편의시설업</t>
  </si>
  <si>
    <t>일반유원</t>
  </si>
  <si>
    <t>종합유원</t>
  </si>
  <si>
    <t>읍 면 별</t>
  </si>
  <si>
    <t>일  반</t>
  </si>
  <si>
    <t>음식점업</t>
  </si>
  <si>
    <t>집계관광지수</t>
  </si>
  <si>
    <t>기타호텔엄</t>
  </si>
  <si>
    <t>전문휴양업</t>
  </si>
  <si>
    <t>단위 : 개소</t>
  </si>
  <si>
    <t>야영장업</t>
  </si>
  <si>
    <t>관광유람선업</t>
  </si>
  <si>
    <t>General</t>
  </si>
  <si>
    <t>Casino</t>
  </si>
  <si>
    <t>House</t>
  </si>
  <si>
    <t>기타유원</t>
  </si>
  <si>
    <t>한옥체험업</t>
  </si>
  <si>
    <t>국  내</t>
  </si>
  <si>
    <t>국  외</t>
  </si>
  <si>
    <t>관광유흥</t>
  </si>
  <si>
    <t>Number</t>
  </si>
  <si>
    <t>Nov.</t>
  </si>
  <si>
    <t>관광궤도업</t>
  </si>
  <si>
    <t>관광공연장업</t>
  </si>
  <si>
    <t>외국인전용</t>
  </si>
  <si>
    <t>Jul.</t>
  </si>
  <si>
    <t>May.</t>
  </si>
  <si>
    <t>카지노업</t>
  </si>
  <si>
    <t>Oct.</t>
  </si>
  <si>
    <t>관광식당업</t>
  </si>
  <si>
    <t>Feb.</t>
  </si>
  <si>
    <t>Rooms</t>
  </si>
  <si>
    <t>Aug.</t>
  </si>
  <si>
    <t>관광호텔업</t>
  </si>
  <si>
    <t>Buses</t>
  </si>
  <si>
    <t>Dec.</t>
  </si>
  <si>
    <t>Total</t>
  </si>
  <si>
    <t>Jan.</t>
  </si>
  <si>
    <t>Loafway</t>
  </si>
  <si>
    <t>관광순환</t>
  </si>
  <si>
    <t>Sept.</t>
  </si>
  <si>
    <t>유흥음식점업</t>
  </si>
  <si>
    <t>연   별</t>
  </si>
  <si>
    <t>Govern-</t>
  </si>
  <si>
    <t>연  별</t>
  </si>
  <si>
    <t>관광극장</t>
  </si>
  <si>
    <t>승  용  차</t>
  </si>
  <si>
    <t>특  수  차</t>
  </si>
  <si>
    <t>Mar.</t>
  </si>
  <si>
    <t>단위 : 대</t>
  </si>
  <si>
    <t>화  물  차</t>
  </si>
  <si>
    <t>Jun.</t>
  </si>
  <si>
    <t>관광펜션업</t>
  </si>
  <si>
    <t>수송인원</t>
  </si>
  <si>
    <t xml:space="preserve"> ment</t>
  </si>
  <si>
    <t>Private</t>
  </si>
  <si>
    <t>Apr.</t>
  </si>
  <si>
    <t>Foreign</t>
  </si>
  <si>
    <t>등록대수</t>
  </si>
  <si>
    <t>단위 : 명</t>
  </si>
  <si>
    <t>목사동면</t>
  </si>
  <si>
    <t>Off-boarding</t>
  </si>
  <si>
    <t>택  시    Taxi</t>
  </si>
  <si>
    <t>계       Total</t>
  </si>
  <si>
    <t>1. 자 동 차 등 록</t>
  </si>
  <si>
    <t>Tourist cruises</t>
  </si>
  <si>
    <t>단위 : 화물/톤, 여객/명</t>
  </si>
  <si>
    <t>1. 자 동 차  등 록</t>
  </si>
  <si>
    <t>Motor  cycle</t>
  </si>
  <si>
    <t>화  물    Freight</t>
  </si>
  <si>
    <t>Business for</t>
  </si>
  <si>
    <t>단위 : 명, 톤, 천원</t>
  </si>
  <si>
    <t>Special  cars</t>
  </si>
  <si>
    <t>Other Hotels</t>
  </si>
  <si>
    <t>Number of
cars</t>
  </si>
  <si>
    <t>Passenger  cars</t>
  </si>
  <si>
    <t>3. 철  도  수  송</t>
  </si>
  <si>
    <t>자료 : 코레일 광주전남본부</t>
  </si>
  <si>
    <t>000 / 곡성통계연보</t>
  </si>
  <si>
    <t>5. 주요 관광지 방문객 수</t>
  </si>
  <si>
    <t>연    별
월    별</t>
  </si>
  <si>
    <t>Tourist
Pension</t>
  </si>
  <si>
    <t>Tourist  hotel</t>
  </si>
  <si>
    <t>Unit : person</t>
  </si>
  <si>
    <t>Unit : number</t>
  </si>
  <si>
    <t>Family  hotel</t>
  </si>
  <si>
    <t>호  텔  업 Hotel</t>
  </si>
  <si>
    <t>Korean-style</t>
  </si>
  <si>
    <t>Exclusive to</t>
  </si>
  <si>
    <r>
      <t>단위</t>
    </r>
    <r>
      <rPr>
        <sz val="9"/>
        <color rgb="FF000000"/>
        <rFont val="Times New Roman"/>
        <family val="1"/>
      </rPr>
      <t xml:space="preserve"> : </t>
    </r>
    <r>
      <rPr>
        <sz val="9"/>
        <color rgb="FF000000"/>
        <rFont val="바탕"/>
        <family val="1"/>
        <charset val="129"/>
      </rPr>
      <t>명</t>
    </r>
  </si>
  <si>
    <r>
      <t xml:space="preserve">10 </t>
    </r>
    <r>
      <rPr>
        <sz val="11"/>
        <color rgb="FF000000"/>
        <rFont val="바탕"/>
        <family val="1"/>
        <charset val="129"/>
      </rPr>
      <t>월</t>
    </r>
  </si>
  <si>
    <r>
      <t xml:space="preserve">12 </t>
    </r>
    <r>
      <rPr>
        <sz val="11"/>
        <color rgb="FF000000"/>
        <rFont val="바탕"/>
        <family val="1"/>
        <charset val="129"/>
      </rPr>
      <t>월</t>
    </r>
  </si>
  <si>
    <r>
      <t xml:space="preserve">11 </t>
    </r>
    <r>
      <rPr>
        <sz val="11"/>
        <color rgb="FF000000"/>
        <rFont val="바탕"/>
        <family val="1"/>
        <charset val="129"/>
      </rPr>
      <t>월</t>
    </r>
  </si>
  <si>
    <t>9  월</t>
  </si>
  <si>
    <t>11 월</t>
  </si>
  <si>
    <t>cial</t>
  </si>
  <si>
    <t>수 송 량</t>
  </si>
  <si>
    <t>발송톤수</t>
  </si>
  <si>
    <t>2  월</t>
  </si>
  <si>
    <t>1  월</t>
  </si>
  <si>
    <t>Sending</t>
  </si>
  <si>
    <t>Trucks</t>
  </si>
  <si>
    <t>4  월</t>
  </si>
  <si>
    <t>승차인원</t>
  </si>
  <si>
    <t>7  월</t>
  </si>
  <si>
    <t>6  월</t>
  </si>
  <si>
    <t>도착톤수</t>
  </si>
  <si>
    <t>8  월</t>
  </si>
  <si>
    <t>3  월</t>
  </si>
  <si>
    <t>12 월</t>
  </si>
  <si>
    <t>10 월</t>
  </si>
  <si>
    <t>강차인원</t>
  </si>
  <si>
    <t>Commer-</t>
  </si>
  <si>
    <t>화물수입</t>
  </si>
  <si>
    <t>월   별</t>
  </si>
  <si>
    <t>승  합  차</t>
  </si>
  <si>
    <t>5  월</t>
  </si>
  <si>
    <t>여객수입</t>
  </si>
  <si>
    <r>
      <t>합  계</t>
    </r>
    <r>
      <rPr>
        <vertAlign val="superscript"/>
        <sz val="11"/>
        <color rgb="FF000000"/>
        <rFont val="나눔스퀘어라운드 Regular"/>
        <family val="3"/>
        <charset val="129"/>
      </rPr>
      <t>1)</t>
    </r>
  </si>
  <si>
    <t>Traffic of Commercial Motor Vehicles by Mode</t>
  </si>
  <si>
    <t>Registration of Tourist Service Establishments</t>
  </si>
  <si>
    <t>유원시설업
Recreational Facilities</t>
  </si>
  <si>
    <t>Tourist convenience facilities</t>
  </si>
  <si>
    <t>Other
Recreational
Facilities</t>
  </si>
  <si>
    <t>General
Recreational
Facilities</t>
  </si>
  <si>
    <t>Recreational
Complex
Facilities</t>
  </si>
  <si>
    <t>객실수</t>
  </si>
  <si>
    <t>4 월</t>
  </si>
  <si>
    <t>호텔수</t>
  </si>
  <si>
    <t>1 월</t>
  </si>
  <si>
    <t>외국인</t>
  </si>
  <si>
    <t>자가용</t>
  </si>
  <si>
    <t>시설업</t>
  </si>
  <si>
    <t>영업용</t>
  </si>
  <si>
    <t>5 월</t>
  </si>
  <si>
    <t>2 월</t>
  </si>
  <si>
    <t>유흥업</t>
  </si>
  <si>
    <t>9 월</t>
  </si>
  <si>
    <t>버스업</t>
  </si>
  <si>
    <t>6 월</t>
  </si>
  <si>
    <t>3 월</t>
  </si>
  <si>
    <t>…</t>
  </si>
  <si>
    <t>내국인</t>
  </si>
  <si>
    <t>계</t>
  </si>
  <si>
    <t>7 월</t>
  </si>
  <si>
    <t>관 용</t>
  </si>
  <si>
    <t>8 월</t>
  </si>
  <si>
    <t>기획업</t>
  </si>
  <si>
    <r>
      <t xml:space="preserve">2 </t>
    </r>
    <r>
      <rPr>
        <sz val="11"/>
        <color rgb="FF000000"/>
        <rFont val="바탕"/>
        <family val="1"/>
        <charset val="129"/>
      </rPr>
      <t>월</t>
    </r>
  </si>
  <si>
    <r>
      <t xml:space="preserve">4 </t>
    </r>
    <r>
      <rPr>
        <sz val="11"/>
        <color rgb="FF000000"/>
        <rFont val="바탕"/>
        <family val="1"/>
        <charset val="129"/>
      </rPr>
      <t>월</t>
    </r>
  </si>
  <si>
    <r>
      <t xml:space="preserve">5 </t>
    </r>
    <r>
      <rPr>
        <sz val="11"/>
        <color rgb="FF000000"/>
        <rFont val="바탕"/>
        <family val="1"/>
        <charset val="129"/>
      </rPr>
      <t>월</t>
    </r>
  </si>
  <si>
    <r>
      <t xml:space="preserve">1 </t>
    </r>
    <r>
      <rPr>
        <sz val="11"/>
        <color rgb="FF000000"/>
        <rFont val="바탕"/>
        <family val="1"/>
        <charset val="129"/>
      </rPr>
      <t>월</t>
    </r>
  </si>
  <si>
    <r>
      <t xml:space="preserve">3 </t>
    </r>
    <r>
      <rPr>
        <sz val="11"/>
        <color rgb="FF000000"/>
        <rFont val="바탕"/>
        <family val="1"/>
        <charset val="129"/>
      </rPr>
      <t>월</t>
    </r>
  </si>
  <si>
    <r>
      <t xml:space="preserve">8 </t>
    </r>
    <r>
      <rPr>
        <sz val="11"/>
        <color rgb="FF000000"/>
        <rFont val="바탕"/>
        <family val="1"/>
        <charset val="129"/>
      </rPr>
      <t>월</t>
    </r>
  </si>
  <si>
    <r>
      <t xml:space="preserve">6 </t>
    </r>
    <r>
      <rPr>
        <sz val="11"/>
        <color rgb="FF000000"/>
        <rFont val="바탕"/>
        <family val="1"/>
        <charset val="129"/>
      </rPr>
      <t>월</t>
    </r>
  </si>
  <si>
    <r>
      <t xml:space="preserve">9 </t>
    </r>
    <r>
      <rPr>
        <sz val="11"/>
        <color rgb="FF000000"/>
        <rFont val="바탕"/>
        <family val="1"/>
        <charset val="129"/>
      </rPr>
      <t>월</t>
    </r>
  </si>
  <si>
    <r>
      <t xml:space="preserve">7 </t>
    </r>
    <r>
      <rPr>
        <sz val="11"/>
        <color rgb="FF000000"/>
        <rFont val="바탕"/>
        <family val="1"/>
        <charset val="129"/>
      </rPr>
      <t>월</t>
    </r>
  </si>
  <si>
    <t>Tourism Support Services</t>
  </si>
  <si>
    <t>Performing arts for tourist</t>
  </si>
  <si>
    <t>여  행  업    Travel  agencies</t>
  </si>
  <si>
    <t>Registered Motor Vehicles</t>
  </si>
  <si>
    <t>곡  성  역 gokseong 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</si>
</sst>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1" formatCode="_-* #,##0_-;\-* #,##0_-;_-* &quot;-&quot;_-;_-@_-"/>
    <numFmt numFmtId="176" formatCode="_ * #,##0_ ;_ * \-#,##0_ ;_ * &quot;-&quot;_ ;_ @_ "/>
    <numFmt numFmtId="177" formatCode="#,##0;[Red]#,##0"/>
    <numFmt numFmtId="178" formatCode="#,##0_ "/>
    <numFmt numFmtId="179" formatCode="#,##0;\(#,##0\)"/>
  </numFmts>
  <fonts count="35">
    <font>
      <sz val="11"/>
      <color rgb="FF000000"/>
      <name val="돋움"/>
    </font>
    <font>
      <sz val="12"/>
      <color rgb="FF000000"/>
      <name val="Times New Roman"/>
      <family val="1"/>
    </font>
    <font>
      <sz val="9"/>
      <color rgb="FF000000"/>
      <name val="굴림체"/>
      <family val="3"/>
      <charset val="129"/>
    </font>
    <font>
      <sz val="11"/>
      <color rgb="FF000000"/>
      <name val="Times New Roman"/>
      <family val="1"/>
    </font>
    <font>
      <sz val="9"/>
      <color rgb="FF000000"/>
      <name val="Times New Roman"/>
      <family val="1"/>
    </font>
    <font>
      <sz val="9"/>
      <color rgb="FF000000"/>
      <name val="바탕"/>
      <family val="1"/>
      <charset val="129"/>
    </font>
    <font>
      <sz val="20"/>
      <color rgb="FF000000"/>
      <name val="Times New Roman"/>
      <family val="1"/>
    </font>
    <font>
      <sz val="10"/>
      <color rgb="FF000000"/>
      <name val="돋움"/>
      <family val="3"/>
      <charset val="129"/>
    </font>
    <font>
      <sz val="10"/>
      <color rgb="FF000000"/>
      <name val="Times New Roman"/>
      <family val="1"/>
    </font>
    <font>
      <sz val="11"/>
      <color rgb="FF000000"/>
      <name val="바탕"/>
      <family val="1"/>
      <charset val="129"/>
    </font>
    <font>
      <b/>
      <sz val="12"/>
      <color rgb="FF000000"/>
      <name val="Times New Roman"/>
      <family val="1"/>
    </font>
    <font>
      <b/>
      <sz val="11"/>
      <color rgb="FFFF0000"/>
      <name val="Times New Roman"/>
      <family val="1"/>
    </font>
    <font>
      <sz val="11"/>
      <color rgb="FFFF0000"/>
      <name val="Times New Roman"/>
      <family val="1"/>
    </font>
    <font>
      <sz val="10"/>
      <color rgb="FF000000"/>
      <name val="Arial Narrow"/>
      <family val="2"/>
    </font>
    <font>
      <sz val="12"/>
      <color rgb="FF000000"/>
      <name val="나눔스퀘어라운드 Regular"/>
      <family val="3"/>
      <charset val="129"/>
    </font>
    <font>
      <b/>
      <sz val="26"/>
      <color rgb="FF000000"/>
      <name val="나눔스퀘어라운드 Regular"/>
      <family val="3"/>
      <charset val="129"/>
    </font>
    <font>
      <b/>
      <sz val="24"/>
      <color rgb="FF000000"/>
      <name val="나눔스퀘어라운드 Regular"/>
      <family val="3"/>
      <charset val="129"/>
    </font>
    <font>
      <b/>
      <sz val="14"/>
      <color rgb="FF000000"/>
      <name val="나눔스퀘어라운드 Regular"/>
      <family val="3"/>
      <charset val="129"/>
    </font>
    <font>
      <b/>
      <sz val="20"/>
      <color rgb="FF000000"/>
      <name val="나눔스퀘어라운드 Regular"/>
      <family val="3"/>
      <charset val="129"/>
    </font>
    <font>
      <sz val="14"/>
      <color rgb="FF000000"/>
      <name val="나눔스퀘어라운드 Regular"/>
      <family val="3"/>
      <charset val="129"/>
    </font>
    <font>
      <b/>
      <sz val="12"/>
      <color rgb="FF000000"/>
      <name val="나눔스퀘어라운드 Regular"/>
      <family val="3"/>
      <charset val="129"/>
    </font>
    <font>
      <sz val="10"/>
      <color rgb="FF000000"/>
      <name val="나눔스퀘어라운드 Regular"/>
      <family val="3"/>
      <charset val="129"/>
    </font>
    <font>
      <sz val="11"/>
      <color rgb="FF000000"/>
      <name val="나눔스퀘어라운드 Regular"/>
      <family val="3"/>
      <charset val="129"/>
    </font>
    <font>
      <sz val="9"/>
      <color rgb="FF000000"/>
      <name val="나눔스퀘어라운드 Regular"/>
      <family val="3"/>
      <charset val="129"/>
    </font>
    <font>
      <sz val="20"/>
      <color rgb="FF000000"/>
      <name val="나눔스퀘어라운드 Regular"/>
      <family val="3"/>
      <charset val="129"/>
    </font>
    <font>
      <b/>
      <sz val="11"/>
      <color rgb="FF000000"/>
      <name val="나눔스퀘어라운드 Regular"/>
      <family val="3"/>
      <charset val="129"/>
    </font>
    <font>
      <sz val="11"/>
      <color rgb="FFFF0000"/>
      <name val="나눔스퀘어라운드 Regular"/>
      <family val="3"/>
      <charset val="129"/>
    </font>
    <font>
      <b/>
      <sz val="11"/>
      <color rgb="FFFF0000"/>
      <name val="나눔스퀘어라운드 Regular"/>
      <family val="3"/>
      <charset val="129"/>
    </font>
    <font>
      <b/>
      <sz val="18"/>
      <color rgb="FF000000"/>
      <name val="나눔스퀘어라운드 Regular"/>
      <family val="3"/>
      <charset val="129"/>
    </font>
    <font>
      <b/>
      <sz val="20"/>
      <color rgb="FF000000"/>
      <name val="Times New Roman"/>
      <family val="1"/>
    </font>
    <font>
      <b/>
      <sz val="20"/>
      <color rgb="FF000000"/>
      <name val="바탕"/>
      <family val="1"/>
      <charset val="129"/>
    </font>
    <font>
      <vertAlign val="superscript"/>
      <sz val="11"/>
      <color rgb="FF000000"/>
      <name val="나눔스퀘어라운드 Regular"/>
      <family val="3"/>
      <charset val="129"/>
    </font>
    <font>
      <sz val="11"/>
      <color rgb="FF000000"/>
      <name val="돋움"/>
      <family val="3"/>
      <charset val="129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8CB3E4"/>
        <bgColor indexed="64"/>
      </patternFill>
    </fill>
    <fill>
      <patternFill patternType="solid">
        <fgColor rgb="FF99CCFF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EEECE1"/>
      </right>
      <top style="thin">
        <color rgb="FFEEECE1"/>
      </top>
      <bottom style="thin">
        <color rgb="FFEEECE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EEECE1"/>
      </left>
      <right style="thin">
        <color rgb="FFEEECE1"/>
      </right>
      <top style="thin">
        <color rgb="FFEEECE1"/>
      </top>
      <bottom style="thin">
        <color rgb="FFEEECE1"/>
      </bottom>
      <diagonal/>
    </border>
    <border>
      <left/>
      <right/>
      <top/>
      <bottom style="thin">
        <color rgb="FFEEECE1"/>
      </bottom>
      <diagonal/>
    </border>
    <border>
      <left style="thin">
        <color rgb="FFEEECE1"/>
      </left>
      <right/>
      <top style="thin">
        <color rgb="FFEEECE1"/>
      </top>
      <bottom style="thin">
        <color rgb="FFEEECE1"/>
      </bottom>
      <diagonal/>
    </border>
    <border>
      <left style="thin">
        <color rgb="FFEEECE1"/>
      </left>
      <right style="thin">
        <color auto="1"/>
      </right>
      <top style="thin">
        <color rgb="FFEEECE1"/>
      </top>
      <bottom style="thin">
        <color rgb="FFEEECE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hair">
        <color theme="0" tint="-0.24994659260841701"/>
      </right>
      <top/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/>
      <bottom style="hair">
        <color theme="0" tint="-0.24994659260841701"/>
      </bottom>
      <diagonal/>
    </border>
    <border>
      <left style="hair">
        <color theme="0" tint="-0.24994659260841701"/>
      </left>
      <right style="thin">
        <color auto="1"/>
      </right>
      <top/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thin">
        <color auto="1"/>
      </right>
      <top style="hair">
        <color theme="0" tint="-0.24994659260841701"/>
      </top>
      <bottom style="hair">
        <color theme="0" tint="-0.24994659260841701"/>
      </bottom>
      <diagonal/>
    </border>
  </borders>
  <cellStyleXfs count="11">
    <xf numFmtId="0" fontId="0" fillId="0" borderId="0">
      <alignment vertical="center"/>
    </xf>
    <xf numFmtId="41" fontId="32" fillId="0" borderId="0">
      <alignment vertical="center"/>
    </xf>
    <xf numFmtId="0" fontId="1" fillId="0" borderId="0"/>
    <xf numFmtId="0" fontId="2" fillId="0" borderId="0"/>
    <xf numFmtId="0" fontId="32" fillId="0" borderId="0"/>
    <xf numFmtId="0" fontId="32" fillId="0" borderId="0"/>
    <xf numFmtId="41" fontId="32" fillId="0" borderId="0"/>
    <xf numFmtId="41" fontId="32" fillId="0" borderId="0"/>
    <xf numFmtId="0" fontId="32" fillId="0" borderId="0"/>
    <xf numFmtId="41" fontId="32" fillId="0" borderId="0"/>
    <xf numFmtId="0" fontId="34" fillId="0" borderId="0">
      <alignment vertical="center"/>
    </xf>
  </cellStyleXfs>
  <cellXfs count="342">
    <xf numFmtId="0" fontId="0" fillId="0" borderId="0" xfId="0">
      <alignment vertical="center"/>
    </xf>
    <xf numFmtId="0" fontId="3" fillId="0" borderId="0" xfId="0" applyNumberFormat="1" applyFont="1" applyFill="1" applyAlignment="1">
      <alignment vertical="center"/>
    </xf>
    <xf numFmtId="0" fontId="3" fillId="0" borderId="0" xfId="0" applyNumberFormat="1" applyFont="1" applyFill="1" applyBorder="1" applyAlignment="1">
      <alignment vertical="center"/>
    </xf>
    <xf numFmtId="0" fontId="3" fillId="0" borderId="1" xfId="0" applyNumberFormat="1" applyFont="1" applyFill="1" applyBorder="1" applyAlignment="1">
      <alignment vertical="center"/>
    </xf>
    <xf numFmtId="0" fontId="3" fillId="0" borderId="2" xfId="0" applyNumberFormat="1" applyFont="1" applyFill="1" applyBorder="1" applyAlignment="1">
      <alignment vertical="center"/>
    </xf>
    <xf numFmtId="0" fontId="4" fillId="0" borderId="0" xfId="0" applyNumberFormat="1" applyFont="1" applyFill="1" applyAlignment="1">
      <alignment vertical="center"/>
    </xf>
    <xf numFmtId="0" fontId="5" fillId="0" borderId="0" xfId="0" applyNumberFormat="1" applyFont="1" applyFill="1" applyAlignment="1">
      <alignment vertical="center"/>
    </xf>
    <xf numFmtId="0" fontId="6" fillId="0" borderId="0" xfId="0" applyNumberFormat="1" applyFont="1" applyFill="1" applyAlignment="1">
      <alignment vertical="center"/>
    </xf>
    <xf numFmtId="0" fontId="3" fillId="0" borderId="3" xfId="0" applyNumberFormat="1" applyFont="1" applyFill="1" applyBorder="1" applyAlignment="1">
      <alignment vertical="center"/>
    </xf>
    <xf numFmtId="0" fontId="7" fillId="0" borderId="0" xfId="0" applyNumberFormat="1" applyFont="1" applyAlignment="1">
      <alignment horizontal="left" vertical="center"/>
    </xf>
    <xf numFmtId="0" fontId="8" fillId="0" borderId="0" xfId="0" applyNumberFormat="1" applyFont="1" applyFill="1" applyAlignment="1">
      <alignment vertical="center"/>
    </xf>
    <xf numFmtId="0" fontId="3" fillId="0" borderId="4" xfId="0" applyNumberFormat="1" applyFont="1" applyFill="1" applyBorder="1" applyAlignment="1">
      <alignment horizontal="center" vertical="center"/>
    </xf>
    <xf numFmtId="0" fontId="3" fillId="0" borderId="5" xfId="0" applyNumberFormat="1" applyFont="1" applyFill="1" applyBorder="1" applyAlignment="1">
      <alignment horizontal="center" vertical="center"/>
    </xf>
    <xf numFmtId="0" fontId="3" fillId="2" borderId="5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center" vertical="center"/>
    </xf>
    <xf numFmtId="0" fontId="3" fillId="0" borderId="7" xfId="0" applyNumberFormat="1" applyFont="1" applyFill="1" applyBorder="1" applyAlignment="1">
      <alignment vertical="center"/>
    </xf>
    <xf numFmtId="41" fontId="10" fillId="2" borderId="1" xfId="1" applyNumberFormat="1" applyFont="1" applyFill="1" applyBorder="1" applyAlignment="1">
      <alignment vertical="center"/>
    </xf>
    <xf numFmtId="3" fontId="8" fillId="0" borderId="0" xfId="0" applyNumberFormat="1" applyFont="1" applyBorder="1" applyAlignment="1">
      <alignment horizontal="right" vertical="center" wrapText="1"/>
    </xf>
    <xf numFmtId="41" fontId="3" fillId="0" borderId="0" xfId="1" applyNumberFormat="1" applyFont="1" applyFill="1" applyBorder="1" applyAlignment="1">
      <alignment vertical="center"/>
    </xf>
    <xf numFmtId="0" fontId="3" fillId="0" borderId="8" xfId="0" applyNumberFormat="1" applyFont="1" applyFill="1" applyBorder="1" applyAlignment="1">
      <alignment vertical="center"/>
    </xf>
    <xf numFmtId="0" fontId="11" fillId="0" borderId="0" xfId="0" applyNumberFormat="1" applyFont="1" applyFill="1" applyAlignment="1">
      <alignment vertical="center"/>
    </xf>
    <xf numFmtId="0" fontId="12" fillId="2" borderId="0" xfId="0" applyNumberFormat="1" applyFont="1" applyFill="1" applyAlignment="1">
      <alignment vertical="center"/>
    </xf>
    <xf numFmtId="0" fontId="3" fillId="2" borderId="0" xfId="0" applyNumberFormat="1" applyFont="1" applyFill="1" applyBorder="1" applyAlignment="1">
      <alignment horizontal="center" vertical="center"/>
    </xf>
    <xf numFmtId="0" fontId="12" fillId="0" borderId="0" xfId="0" applyNumberFormat="1" applyFont="1" applyFill="1" applyAlignment="1">
      <alignment vertical="center"/>
    </xf>
    <xf numFmtId="0" fontId="3" fillId="3" borderId="9" xfId="0" applyNumberFormat="1" applyFont="1" applyFill="1" applyBorder="1" applyAlignment="1">
      <alignment horizontal="centerContinuous" vertical="center"/>
    </xf>
    <xf numFmtId="0" fontId="9" fillId="3" borderId="10" xfId="0" applyNumberFormat="1" applyFont="1" applyFill="1" applyBorder="1" applyAlignment="1">
      <alignment horizontal="centerContinuous" vertical="center" wrapText="1"/>
    </xf>
    <xf numFmtId="0" fontId="13" fillId="0" borderId="0" xfId="0" applyNumberFormat="1" applyFont="1" applyAlignment="1">
      <alignment horizontal="right" vertical="center"/>
    </xf>
    <xf numFmtId="0" fontId="9" fillId="3" borderId="4" xfId="0" applyNumberFormat="1" applyFont="1" applyFill="1" applyBorder="1" applyAlignment="1">
      <alignment horizontal="center" vertical="center"/>
    </xf>
    <xf numFmtId="0" fontId="3" fillId="3" borderId="11" xfId="0" applyNumberFormat="1" applyFont="1" applyFill="1" applyBorder="1" applyAlignment="1">
      <alignment horizontal="center" vertical="center"/>
    </xf>
    <xf numFmtId="0" fontId="3" fillId="3" borderId="12" xfId="0" applyNumberFormat="1" applyFont="1" applyFill="1" applyBorder="1" applyAlignment="1">
      <alignment horizontal="center" vertical="center"/>
    </xf>
    <xf numFmtId="41" fontId="3" fillId="2" borderId="0" xfId="1" applyNumberFormat="1" applyFont="1" applyFill="1" applyBorder="1" applyAlignment="1">
      <alignment vertical="center"/>
    </xf>
    <xf numFmtId="3" fontId="3" fillId="0" borderId="0" xfId="0" applyNumberFormat="1" applyFont="1" applyBorder="1" applyAlignment="1">
      <alignment vertical="center"/>
    </xf>
    <xf numFmtId="41" fontId="3" fillId="0" borderId="0" xfId="1" applyNumberFormat="1" applyFont="1" applyBorder="1" applyAlignment="1" applyProtection="1">
      <alignment vertical="center"/>
      <protection locked="0"/>
    </xf>
    <xf numFmtId="0" fontId="10" fillId="4" borderId="5" xfId="0" applyNumberFormat="1" applyFont="1" applyFill="1" applyBorder="1" applyAlignment="1">
      <alignment horizontal="center" vertical="center"/>
    </xf>
    <xf numFmtId="41" fontId="10" fillId="4" borderId="0" xfId="1" applyNumberFormat="1" applyFont="1" applyFill="1" applyBorder="1" applyAlignment="1">
      <alignment vertical="center"/>
    </xf>
    <xf numFmtId="0" fontId="10" fillId="4" borderId="0" xfId="0" applyNumberFormat="1" applyFont="1" applyFill="1" applyBorder="1" applyAlignment="1">
      <alignment horizontal="center" vertical="center"/>
    </xf>
    <xf numFmtId="0" fontId="14" fillId="0" borderId="0" xfId="2" applyNumberFormat="1" applyFont="1"/>
    <xf numFmtId="0" fontId="15" fillId="0" borderId="0" xfId="3" applyNumberFormat="1" applyFont="1" applyAlignment="1">
      <alignment vertical="center"/>
    </xf>
    <xf numFmtId="0" fontId="16" fillId="0" borderId="0" xfId="3" applyNumberFormat="1" applyFont="1" applyBorder="1"/>
    <xf numFmtId="0" fontId="14" fillId="0" borderId="0" xfId="2" applyNumberFormat="1" applyFont="1" applyAlignment="1">
      <alignment wrapText="1"/>
    </xf>
    <xf numFmtId="0" fontId="17" fillId="0" borderId="0" xfId="0" applyNumberFormat="1" applyFont="1" applyFill="1" applyAlignment="1">
      <alignment vertical="center"/>
    </xf>
    <xf numFmtId="0" fontId="18" fillId="0" borderId="0" xfId="0" applyNumberFormat="1" applyFont="1" applyFill="1" applyAlignment="1">
      <alignment vertical="center"/>
    </xf>
    <xf numFmtId="0" fontId="17" fillId="0" borderId="0" xfId="0" applyNumberFormat="1" applyFont="1" applyFill="1" applyAlignment="1">
      <alignment horizontal="left" vertical="center" indent="2"/>
    </xf>
    <xf numFmtId="0" fontId="18" fillId="0" borderId="0" xfId="0" applyNumberFormat="1" applyFont="1" applyFill="1" applyAlignment="1">
      <alignment horizontal="left" vertical="center" indent="2"/>
    </xf>
    <xf numFmtId="0" fontId="19" fillId="0" borderId="0" xfId="2" applyNumberFormat="1" applyFont="1"/>
    <xf numFmtId="0" fontId="20" fillId="0" borderId="0" xfId="0" applyNumberFormat="1" applyFont="1" applyFill="1" applyAlignment="1">
      <alignment vertical="center" shrinkToFit="1"/>
    </xf>
    <xf numFmtId="0" fontId="21" fillId="0" borderId="0" xfId="0" applyNumberFormat="1" applyFont="1" applyAlignment="1">
      <alignment horizontal="left" vertical="center"/>
    </xf>
    <xf numFmtId="0" fontId="21" fillId="0" borderId="0" xfId="0" applyNumberFormat="1" applyFont="1" applyAlignment="1">
      <alignment horizontal="right" vertical="center"/>
    </xf>
    <xf numFmtId="0" fontId="22" fillId="0" borderId="0" xfId="0" applyNumberFormat="1" applyFont="1" applyFill="1" applyBorder="1" applyAlignment="1">
      <alignment vertical="center"/>
    </xf>
    <xf numFmtId="0" fontId="22" fillId="0" borderId="0" xfId="0" applyNumberFormat="1" applyFont="1" applyFill="1" applyAlignment="1">
      <alignment vertical="center"/>
    </xf>
    <xf numFmtId="0" fontId="22" fillId="5" borderId="6" xfId="0" applyNumberFormat="1" applyFont="1" applyFill="1" applyBorder="1" applyAlignment="1">
      <alignment horizontal="center" vertical="center" shrinkToFit="1"/>
    </xf>
    <xf numFmtId="0" fontId="22" fillId="5" borderId="7" xfId="0" applyNumberFormat="1" applyFont="1" applyFill="1" applyBorder="1" applyAlignment="1">
      <alignment horizontal="center" vertical="center" shrinkToFit="1"/>
    </xf>
    <xf numFmtId="0" fontId="22" fillId="5" borderId="13" xfId="0" applyNumberFormat="1" applyFont="1" applyFill="1" applyBorder="1" applyAlignment="1">
      <alignment horizontal="center" vertical="center" shrinkToFit="1"/>
    </xf>
    <xf numFmtId="0" fontId="22" fillId="0" borderId="0" xfId="0" applyNumberFormat="1" applyFont="1" applyFill="1" applyBorder="1" applyAlignment="1">
      <alignment vertical="center" shrinkToFit="1"/>
    </xf>
    <xf numFmtId="0" fontId="22" fillId="0" borderId="0" xfId="0" applyNumberFormat="1" applyFont="1" applyFill="1" applyAlignment="1">
      <alignment vertical="center" shrinkToFit="1"/>
    </xf>
    <xf numFmtId="0" fontId="22" fillId="5" borderId="11" xfId="0" applyNumberFormat="1" applyFont="1" applyFill="1" applyBorder="1" applyAlignment="1">
      <alignment horizontal="center" vertical="center" shrinkToFit="1"/>
    </xf>
    <xf numFmtId="0" fontId="22" fillId="5" borderId="12" xfId="0" applyNumberFormat="1" applyFont="1" applyFill="1" applyBorder="1" applyAlignment="1">
      <alignment horizontal="center" vertical="center" shrinkToFit="1"/>
    </xf>
    <xf numFmtId="0" fontId="22" fillId="5" borderId="14" xfId="0" applyNumberFormat="1" applyFont="1" applyFill="1" applyBorder="1" applyAlignment="1">
      <alignment horizontal="center" vertical="center" shrinkToFit="1"/>
    </xf>
    <xf numFmtId="0" fontId="22" fillId="0" borderId="2" xfId="0" applyNumberFormat="1" applyFont="1" applyFill="1" applyBorder="1" applyAlignment="1">
      <alignment horizontal="center" vertical="center"/>
    </xf>
    <xf numFmtId="0" fontId="22" fillId="0" borderId="1" xfId="0" applyNumberFormat="1" applyFont="1" applyFill="1" applyBorder="1" applyAlignment="1">
      <alignment vertical="center"/>
    </xf>
    <xf numFmtId="0" fontId="22" fillId="5" borderId="9" xfId="0" applyNumberFormat="1" applyFont="1" applyFill="1" applyBorder="1" applyAlignment="1">
      <alignment horizontal="centerContinuous" vertical="center"/>
    </xf>
    <xf numFmtId="0" fontId="22" fillId="0" borderId="0" xfId="0" applyNumberFormat="1" applyFont="1" applyAlignment="1"/>
    <xf numFmtId="0" fontId="23" fillId="0" borderId="1" xfId="0" applyNumberFormat="1" applyFont="1" applyFill="1" applyBorder="1" applyAlignment="1">
      <alignment vertical="center"/>
    </xf>
    <xf numFmtId="0" fontId="23" fillId="0" borderId="0" xfId="0" applyNumberFormat="1" applyFont="1" applyFill="1" applyAlignment="1">
      <alignment vertical="center"/>
    </xf>
    <xf numFmtId="0" fontId="22" fillId="5" borderId="4" xfId="0" applyNumberFormat="1" applyFont="1" applyFill="1" applyBorder="1" applyAlignment="1">
      <alignment horizontal="center" vertical="center"/>
    </xf>
    <xf numFmtId="0" fontId="22" fillId="5" borderId="12" xfId="0" applyNumberFormat="1" applyFont="1" applyFill="1" applyBorder="1" applyAlignment="1">
      <alignment horizontal="center" vertical="center"/>
    </xf>
    <xf numFmtId="0" fontId="22" fillId="0" borderId="5" xfId="0" applyNumberFormat="1" applyFont="1" applyFill="1" applyBorder="1" applyAlignment="1">
      <alignment vertical="center"/>
    </xf>
    <xf numFmtId="0" fontId="22" fillId="0" borderId="5" xfId="0" applyNumberFormat="1" applyFont="1" applyFill="1" applyBorder="1" applyAlignment="1">
      <alignment horizontal="center" vertical="center"/>
    </xf>
    <xf numFmtId="0" fontId="22" fillId="0" borderId="0" xfId="0" applyNumberFormat="1" applyFont="1" applyFill="1" applyAlignment="1">
      <alignment horizontal="center" vertical="center"/>
    </xf>
    <xf numFmtId="0" fontId="22" fillId="5" borderId="13" xfId="0" applyNumberFormat="1" applyFont="1" applyFill="1" applyBorder="1" applyAlignment="1">
      <alignment horizontal="center" vertical="center"/>
    </xf>
    <xf numFmtId="0" fontId="22" fillId="5" borderId="11" xfId="0" applyNumberFormat="1" applyFont="1" applyFill="1" applyBorder="1" applyAlignment="1">
      <alignment horizontal="center" vertical="center"/>
    </xf>
    <xf numFmtId="0" fontId="22" fillId="0" borderId="0" xfId="0" applyNumberFormat="1" applyFont="1" applyFill="1" applyBorder="1" applyAlignment="1">
      <alignment horizontal="center" vertical="center"/>
    </xf>
    <xf numFmtId="0" fontId="24" fillId="0" borderId="0" xfId="0" applyNumberFormat="1" applyFont="1" applyFill="1" applyAlignment="1">
      <alignment vertical="center"/>
    </xf>
    <xf numFmtId="0" fontId="22" fillId="0" borderId="2" xfId="0" applyNumberFormat="1" applyFont="1" applyFill="1" applyBorder="1" applyAlignment="1">
      <alignment vertical="center"/>
    </xf>
    <xf numFmtId="0" fontId="23" fillId="0" borderId="1" xfId="0" applyNumberFormat="1" applyFont="1" applyFill="1" applyBorder="1" applyAlignment="1">
      <alignment horizontal="left" vertical="center"/>
    </xf>
    <xf numFmtId="0" fontId="22" fillId="5" borderId="4" xfId="0" applyNumberFormat="1" applyFont="1" applyFill="1" applyBorder="1" applyAlignment="1">
      <alignment horizontal="center" vertical="center" wrapText="1"/>
    </xf>
    <xf numFmtId="0" fontId="22" fillId="0" borderId="7" xfId="0" applyNumberFormat="1" applyFont="1" applyFill="1" applyBorder="1" applyAlignment="1">
      <alignment vertical="center"/>
    </xf>
    <xf numFmtId="0" fontId="22" fillId="5" borderId="4" xfId="0" applyNumberFormat="1" applyFont="1" applyFill="1" applyBorder="1" applyAlignment="1">
      <alignment horizontal="center" vertical="center" shrinkToFit="1"/>
    </xf>
    <xf numFmtId="0" fontId="21" fillId="0" borderId="0" xfId="0" applyNumberFormat="1" applyFont="1" applyFill="1" applyAlignment="1">
      <alignment vertical="center"/>
    </xf>
    <xf numFmtId="0" fontId="22" fillId="5" borderId="10" xfId="0" applyNumberFormat="1" applyFont="1" applyFill="1" applyBorder="1" applyAlignment="1">
      <alignment horizontal="centerContinuous" vertical="center" wrapText="1"/>
    </xf>
    <xf numFmtId="0" fontId="22" fillId="5" borderId="6" xfId="0" applyNumberFormat="1" applyFont="1" applyFill="1" applyBorder="1" applyAlignment="1">
      <alignment horizontal="center" vertical="center"/>
    </xf>
    <xf numFmtId="0" fontId="23" fillId="0" borderId="1" xfId="0" applyNumberFormat="1" applyFont="1" applyFill="1" applyBorder="1" applyAlignment="1">
      <alignment horizontal="right" vertical="center"/>
    </xf>
    <xf numFmtId="0" fontId="22" fillId="0" borderId="1" xfId="0" applyNumberFormat="1" applyFont="1" applyFill="1" applyBorder="1" applyAlignment="1">
      <alignment horizontal="centerContinuous" vertical="center"/>
    </xf>
    <xf numFmtId="0" fontId="21" fillId="0" borderId="1" xfId="0" applyNumberFormat="1" applyFont="1" applyFill="1" applyBorder="1" applyAlignment="1">
      <alignment horizontal="left" vertical="center"/>
    </xf>
    <xf numFmtId="0" fontId="22" fillId="5" borderId="5" xfId="0" applyNumberFormat="1" applyFont="1" applyFill="1" applyBorder="1" applyAlignment="1">
      <alignment horizontal="center" vertical="center" shrinkToFit="1"/>
    </xf>
    <xf numFmtId="0" fontId="22" fillId="5" borderId="0" xfId="0" applyNumberFormat="1" applyFont="1" applyFill="1" applyBorder="1" applyAlignment="1">
      <alignment horizontal="centerContinuous" vertical="center" wrapText="1"/>
    </xf>
    <xf numFmtId="0" fontId="22" fillId="5" borderId="7" xfId="0" applyNumberFormat="1" applyFont="1" applyFill="1" applyBorder="1" applyAlignment="1">
      <alignment horizontal="center" vertical="center"/>
    </xf>
    <xf numFmtId="0" fontId="22" fillId="5" borderId="0" xfId="0" applyNumberFormat="1" applyFont="1" applyFill="1" applyBorder="1" applyAlignment="1">
      <alignment horizontal="center" vertical="center" wrapText="1"/>
    </xf>
    <xf numFmtId="0" fontId="22" fillId="5" borderId="12" xfId="0" applyNumberFormat="1" applyFont="1" applyFill="1" applyBorder="1" applyAlignment="1">
      <alignment horizontal="center" vertical="center" wrapText="1"/>
    </xf>
    <xf numFmtId="0" fontId="22" fillId="0" borderId="15" xfId="0" applyNumberFormat="1" applyFont="1" applyFill="1" applyBorder="1" applyAlignment="1">
      <alignment horizontal="center" vertical="center"/>
    </xf>
    <xf numFmtId="0" fontId="22" fillId="0" borderId="1" xfId="0" applyNumberFormat="1" applyFont="1" applyFill="1" applyBorder="1" applyAlignment="1">
      <alignment horizontal="center" vertical="center"/>
    </xf>
    <xf numFmtId="0" fontId="22" fillId="0" borderId="20" xfId="0" applyNumberFormat="1" applyFont="1" applyFill="1" applyBorder="1" applyAlignment="1">
      <alignment horizontal="center" vertical="center"/>
    </xf>
    <xf numFmtId="0" fontId="22" fillId="0" borderId="0" xfId="0" applyNumberFormat="1" applyFont="1" applyFill="1" applyAlignment="1">
      <alignment horizontal="right" vertical="center"/>
    </xf>
    <xf numFmtId="0" fontId="22" fillId="5" borderId="21" xfId="0" applyNumberFormat="1" applyFont="1" applyFill="1" applyBorder="1" applyAlignment="1">
      <alignment horizontal="center" vertical="center" shrinkToFit="1"/>
    </xf>
    <xf numFmtId="0" fontId="18" fillId="0" borderId="0" xfId="0" applyNumberFormat="1" applyFont="1" applyFill="1" applyAlignment="1">
      <alignment horizontal="center" vertical="center"/>
    </xf>
    <xf numFmtId="0" fontId="24" fillId="0" borderId="0" xfId="0" applyNumberFormat="1" applyFont="1" applyFill="1" applyAlignment="1">
      <alignment horizontal="centerContinuous" vertical="center"/>
    </xf>
    <xf numFmtId="0" fontId="25" fillId="0" borderId="1" xfId="0" applyNumberFormat="1" applyFont="1" applyFill="1" applyBorder="1" applyAlignment="1">
      <alignment vertical="center"/>
    </xf>
    <xf numFmtId="0" fontId="21" fillId="0" borderId="0" xfId="0" applyNumberFormat="1" applyFont="1" applyFill="1" applyBorder="1" applyAlignment="1">
      <alignment horizontal="left" vertical="center"/>
    </xf>
    <xf numFmtId="0" fontId="21" fillId="0" borderId="0" xfId="0" applyNumberFormat="1" applyFont="1" applyFill="1" applyBorder="1" applyAlignment="1">
      <alignment horizontal="right" vertical="center"/>
    </xf>
    <xf numFmtId="0" fontId="22" fillId="5" borderId="11" xfId="0" applyNumberFormat="1" applyFont="1" applyFill="1" applyBorder="1" applyAlignment="1">
      <alignment horizontal="center" vertical="center" wrapText="1"/>
    </xf>
    <xf numFmtId="0" fontId="22" fillId="5" borderId="21" xfId="0" applyNumberFormat="1" applyFont="1" applyFill="1" applyBorder="1" applyAlignment="1">
      <alignment horizontal="center" vertical="center" wrapText="1"/>
    </xf>
    <xf numFmtId="0" fontId="23" fillId="0" borderId="0" xfId="0" applyNumberFormat="1" applyFont="1" applyFill="1" applyBorder="1" applyAlignment="1">
      <alignment horizontal="left" vertical="center"/>
    </xf>
    <xf numFmtId="0" fontId="22" fillId="0" borderId="0" xfId="0" applyNumberFormat="1" applyFont="1" applyFill="1" applyAlignment="1">
      <alignment horizontal="left" vertical="center"/>
    </xf>
    <xf numFmtId="0" fontId="18" fillId="0" borderId="0" xfId="0" applyNumberFormat="1" applyFont="1" applyFill="1" applyAlignment="1">
      <alignment horizontal="center" vertical="center" shrinkToFit="1"/>
    </xf>
    <xf numFmtId="0" fontId="18" fillId="0" borderId="0" xfId="0" applyNumberFormat="1" applyFont="1" applyFill="1" applyBorder="1" applyAlignment="1">
      <alignment horizontal="center" vertical="center"/>
    </xf>
    <xf numFmtId="41" fontId="25" fillId="2" borderId="1" xfId="1" applyNumberFormat="1" applyFont="1" applyFill="1" applyBorder="1" applyAlignment="1">
      <alignment vertical="center"/>
    </xf>
    <xf numFmtId="0" fontId="19" fillId="0" borderId="0" xfId="0" applyNumberFormat="1" applyFont="1" applyAlignment="1"/>
    <xf numFmtId="0" fontId="22" fillId="5" borderId="4" xfId="0" applyNumberFormat="1" applyFont="1" applyFill="1" applyBorder="1" applyAlignment="1">
      <alignment horizontal="center" vertical="center" wrapText="1"/>
    </xf>
    <xf numFmtId="0" fontId="21" fillId="0" borderId="0" xfId="0" applyNumberFormat="1" applyFont="1" applyAlignment="1">
      <alignment horizontal="right" vertical="center"/>
    </xf>
    <xf numFmtId="0" fontId="23" fillId="0" borderId="1" xfId="0" applyNumberFormat="1" applyFont="1" applyFill="1" applyBorder="1" applyAlignment="1">
      <alignment horizontal="right" vertical="center"/>
    </xf>
    <xf numFmtId="0" fontId="32" fillId="0" borderId="0" xfId="4" applyNumberFormat="1"/>
    <xf numFmtId="0" fontId="21" fillId="0" borderId="0" xfId="4" applyNumberFormat="1" applyFont="1" applyAlignment="1">
      <alignment horizontal="left" vertical="center"/>
    </xf>
    <xf numFmtId="0" fontId="21" fillId="0" borderId="0" xfId="4" applyNumberFormat="1" applyFont="1" applyAlignment="1">
      <alignment horizontal="right" vertical="center"/>
    </xf>
    <xf numFmtId="0" fontId="22" fillId="0" borderId="0" xfId="4" applyNumberFormat="1" applyFont="1" applyFill="1" applyBorder="1" applyAlignment="1">
      <alignment vertical="center"/>
    </xf>
    <xf numFmtId="0" fontId="22" fillId="5" borderId="6" xfId="4" applyNumberFormat="1" applyFont="1" applyFill="1" applyBorder="1" applyAlignment="1">
      <alignment horizontal="center" vertical="center" shrinkToFit="1"/>
    </xf>
    <xf numFmtId="0" fontId="22" fillId="5" borderId="11" xfId="4" applyNumberFormat="1" applyFont="1" applyFill="1" applyBorder="1" applyAlignment="1">
      <alignment horizontal="center" vertical="center" shrinkToFit="1"/>
    </xf>
    <xf numFmtId="0" fontId="22" fillId="5" borderId="12" xfId="4" applyNumberFormat="1" applyFont="1" applyFill="1" applyBorder="1" applyAlignment="1">
      <alignment horizontal="center" vertical="center" shrinkToFit="1"/>
    </xf>
    <xf numFmtId="0" fontId="22" fillId="0" borderId="1" xfId="4" applyNumberFormat="1" applyFont="1" applyFill="1" applyBorder="1" applyAlignment="1">
      <alignment vertical="center"/>
    </xf>
    <xf numFmtId="0" fontId="23" fillId="0" borderId="1" xfId="4" applyNumberFormat="1" applyFont="1" applyFill="1" applyBorder="1" applyAlignment="1">
      <alignment vertical="center"/>
    </xf>
    <xf numFmtId="0" fontId="23" fillId="0" borderId="0" xfId="4" applyNumberFormat="1" applyFont="1" applyFill="1" applyAlignment="1">
      <alignment vertical="center"/>
    </xf>
    <xf numFmtId="0" fontId="22" fillId="5" borderId="5" xfId="4" applyNumberFormat="1" applyFont="1" applyFill="1" applyBorder="1" applyAlignment="1">
      <alignment horizontal="center" vertical="center"/>
    </xf>
    <xf numFmtId="0" fontId="22" fillId="5" borderId="0" xfId="4" applyNumberFormat="1" applyFont="1" applyFill="1" applyBorder="1" applyAlignment="1">
      <alignment horizontal="center" vertical="center"/>
    </xf>
    <xf numFmtId="0" fontId="22" fillId="5" borderId="4" xfId="4" applyNumberFormat="1" applyFont="1" applyFill="1" applyBorder="1" applyAlignment="1">
      <alignment horizontal="center" vertical="center"/>
    </xf>
    <xf numFmtId="0" fontId="22" fillId="0" borderId="5" xfId="4" applyNumberFormat="1" applyFont="1" applyFill="1" applyBorder="1" applyAlignment="1">
      <alignment horizontal="center" vertical="center"/>
    </xf>
    <xf numFmtId="0" fontId="22" fillId="5" borderId="13" xfId="4" applyNumberFormat="1" applyFont="1" applyFill="1" applyBorder="1" applyAlignment="1">
      <alignment horizontal="center" vertical="center"/>
    </xf>
    <xf numFmtId="0" fontId="24" fillId="0" borderId="0" xfId="4" applyNumberFormat="1" applyFont="1" applyFill="1" applyAlignment="1">
      <alignment vertical="center"/>
    </xf>
    <xf numFmtId="0" fontId="23" fillId="0" borderId="0" xfId="4" applyNumberFormat="1" applyFont="1" applyFill="1" applyBorder="1" applyAlignment="1">
      <alignment vertical="center"/>
    </xf>
    <xf numFmtId="0" fontId="22" fillId="0" borderId="2" xfId="4" applyNumberFormat="1" applyFont="1" applyFill="1" applyBorder="1" applyAlignment="1">
      <alignment vertical="center"/>
    </xf>
    <xf numFmtId="0" fontId="23" fillId="0" borderId="1" xfId="4" applyNumberFormat="1" applyFont="1" applyFill="1" applyBorder="1" applyAlignment="1">
      <alignment horizontal="left" vertical="center"/>
    </xf>
    <xf numFmtId="0" fontId="22" fillId="5" borderId="4" xfId="4" applyNumberFormat="1" applyFont="1" applyFill="1" applyBorder="1" applyAlignment="1">
      <alignment horizontal="center" vertical="center" shrinkToFit="1"/>
    </xf>
    <xf numFmtId="0" fontId="22" fillId="5" borderId="6" xfId="4" applyNumberFormat="1" applyFont="1" applyFill="1" applyBorder="1" applyAlignment="1">
      <alignment horizontal="center" vertical="center"/>
    </xf>
    <xf numFmtId="0" fontId="24" fillId="0" borderId="0" xfId="4" applyNumberFormat="1" applyFont="1" applyFill="1" applyBorder="1" applyAlignment="1">
      <alignment vertical="center"/>
    </xf>
    <xf numFmtId="0" fontId="23" fillId="0" borderId="1" xfId="4" applyNumberFormat="1" applyFont="1" applyFill="1" applyBorder="1" applyAlignment="1">
      <alignment horizontal="right" vertical="center"/>
    </xf>
    <xf numFmtId="0" fontId="22" fillId="5" borderId="5" xfId="4" applyNumberFormat="1" applyFont="1" applyFill="1" applyBorder="1" applyAlignment="1">
      <alignment horizontal="center" vertical="center" shrinkToFit="1"/>
    </xf>
    <xf numFmtId="0" fontId="22" fillId="5" borderId="0" xfId="4" applyNumberFormat="1" applyFont="1" applyFill="1" applyBorder="1" applyAlignment="1">
      <alignment horizontal="center" vertical="center" shrinkToFit="1"/>
    </xf>
    <xf numFmtId="0" fontId="22" fillId="5" borderId="7" xfId="4" applyNumberFormat="1" applyFont="1" applyFill="1" applyBorder="1" applyAlignment="1">
      <alignment horizontal="center" vertical="center"/>
    </xf>
    <xf numFmtId="0" fontId="22" fillId="5" borderId="21" xfId="4" applyNumberFormat="1" applyFont="1" applyFill="1" applyBorder="1" applyAlignment="1">
      <alignment horizontal="center" vertical="center" shrinkToFit="1"/>
    </xf>
    <xf numFmtId="0" fontId="22" fillId="5" borderId="5" xfId="4" applyNumberFormat="1" applyFont="1" applyFill="1" applyBorder="1" applyAlignment="1">
      <alignment horizontal="center" vertical="center" wrapText="1"/>
    </xf>
    <xf numFmtId="0" fontId="18" fillId="0" borderId="0" xfId="4" applyNumberFormat="1" applyFont="1" applyFill="1" applyAlignment="1">
      <alignment horizontal="center" vertical="center"/>
    </xf>
    <xf numFmtId="0" fontId="23" fillId="0" borderId="1" xfId="4" applyNumberFormat="1" applyFont="1" applyFill="1" applyBorder="1" applyAlignment="1">
      <alignment horizontal="center" vertical="center"/>
    </xf>
    <xf numFmtId="0" fontId="22" fillId="5" borderId="22" xfId="4" applyNumberFormat="1" applyFont="1" applyFill="1" applyBorder="1" applyAlignment="1">
      <alignment horizontal="center" vertical="center"/>
    </xf>
    <xf numFmtId="176" fontId="25" fillId="5" borderId="0" xfId="5" applyNumberFormat="1" applyFont="1" applyFill="1" applyAlignment="1">
      <alignment horizontal="center" vertical="center" shrinkToFit="1"/>
    </xf>
    <xf numFmtId="176" fontId="25" fillId="5" borderId="0" xfId="5" applyNumberFormat="1" applyFont="1" applyFill="1" applyAlignment="1" applyProtection="1">
      <alignment horizontal="center" vertical="center" shrinkToFit="1"/>
      <protection locked="0"/>
    </xf>
    <xf numFmtId="0" fontId="22" fillId="0" borderId="15" xfId="0" applyNumberFormat="1" applyFont="1" applyFill="1" applyBorder="1" applyAlignment="1">
      <alignment vertical="center"/>
    </xf>
    <xf numFmtId="176" fontId="22" fillId="2" borderId="0" xfId="8" applyNumberFormat="1" applyFont="1" applyFill="1" applyAlignment="1">
      <alignment horizontal="center" vertical="center" shrinkToFit="1"/>
    </xf>
    <xf numFmtId="176" fontId="22" fillId="2" borderId="0" xfId="8" applyNumberFormat="1" applyFont="1" applyFill="1" applyAlignment="1">
      <alignment vertical="center" shrinkToFit="1"/>
    </xf>
    <xf numFmtId="176" fontId="22" fillId="2" borderId="0" xfId="8" applyNumberFormat="1" applyFont="1" applyFill="1" applyAlignment="1" applyProtection="1">
      <alignment horizontal="center" vertical="center" shrinkToFit="1"/>
      <protection locked="0"/>
    </xf>
    <xf numFmtId="176" fontId="22" fillId="0" borderId="0" xfId="8" applyNumberFormat="1" applyFont="1" applyAlignment="1">
      <alignment horizontal="center" vertical="center" shrinkToFit="1"/>
    </xf>
    <xf numFmtId="176" fontId="22" fillId="0" borderId="0" xfId="8" applyNumberFormat="1" applyFont="1" applyAlignment="1" applyProtection="1">
      <alignment horizontal="center" vertical="center" shrinkToFit="1"/>
      <protection locked="0"/>
    </xf>
    <xf numFmtId="0" fontId="22" fillId="0" borderId="1" xfId="5" applyNumberFormat="1" applyFont="1" applyFill="1" applyBorder="1" applyAlignment="1">
      <alignment vertical="center"/>
    </xf>
    <xf numFmtId="0" fontId="22" fillId="0" borderId="2" xfId="5" applyNumberFormat="1" applyFont="1" applyFill="1" applyBorder="1" applyAlignment="1">
      <alignment vertical="center"/>
    </xf>
    <xf numFmtId="0" fontId="22" fillId="0" borderId="2" xfId="5" applyNumberFormat="1" applyFont="1" applyFill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41" fontId="22" fillId="0" borderId="4" xfId="1" applyFont="1" applyBorder="1" applyAlignment="1">
      <alignment horizontal="center" vertical="center" shrinkToFit="1"/>
    </xf>
    <xf numFmtId="41" fontId="22" fillId="0" borderId="0" xfId="1" applyFont="1" applyAlignment="1">
      <alignment horizontal="center" vertical="center" shrinkToFit="1"/>
    </xf>
    <xf numFmtId="0" fontId="22" fillId="0" borderId="0" xfId="5" applyFont="1" applyAlignment="1">
      <alignment horizontal="center" vertical="center"/>
    </xf>
    <xf numFmtId="0" fontId="22" fillId="0" borderId="0" xfId="5" applyFont="1" applyAlignment="1">
      <alignment vertical="center"/>
    </xf>
    <xf numFmtId="0" fontId="14" fillId="0" borderId="0" xfId="5" applyFont="1" applyAlignment="1">
      <alignment horizontal="center" vertical="center"/>
    </xf>
    <xf numFmtId="0" fontId="25" fillId="5" borderId="5" xfId="0" applyFont="1" applyFill="1" applyBorder="1" applyAlignment="1">
      <alignment horizontal="center" vertical="center"/>
    </xf>
    <xf numFmtId="41" fontId="25" fillId="5" borderId="4" xfId="1" applyFont="1" applyFill="1" applyBorder="1" applyAlignment="1">
      <alignment horizontal="center" vertical="center" shrinkToFit="1"/>
    </xf>
    <xf numFmtId="41" fontId="25" fillId="5" borderId="0" xfId="1" applyFont="1" applyFill="1" applyAlignment="1">
      <alignment horizontal="center" vertical="center" shrinkToFit="1"/>
    </xf>
    <xf numFmtId="0" fontId="20" fillId="0" borderId="0" xfId="5" applyFont="1" applyAlignment="1">
      <alignment horizontal="center" vertical="center"/>
    </xf>
    <xf numFmtId="0" fontId="22" fillId="0" borderId="5" xfId="5" applyFont="1" applyBorder="1" applyAlignment="1">
      <alignment vertical="center"/>
    </xf>
    <xf numFmtId="178" fontId="22" fillId="0" borderId="32" xfId="9" applyNumberFormat="1" applyFont="1" applyBorder="1" applyAlignment="1">
      <alignment vertical="center" shrinkToFit="1"/>
    </xf>
    <xf numFmtId="178" fontId="22" fillId="0" borderId="33" xfId="9" applyNumberFormat="1" applyFont="1" applyBorder="1" applyAlignment="1">
      <alignment vertical="center" shrinkToFit="1"/>
    </xf>
    <xf numFmtId="178" fontId="22" fillId="0" borderId="34" xfId="9" applyNumberFormat="1" applyFont="1" applyBorder="1" applyAlignment="1">
      <alignment vertical="center" shrinkToFit="1"/>
    </xf>
    <xf numFmtId="0" fontId="22" fillId="0" borderId="5" xfId="5" applyFont="1" applyBorder="1" applyAlignment="1">
      <alignment horizontal="center" vertical="center"/>
    </xf>
    <xf numFmtId="41" fontId="22" fillId="0" borderId="35" xfId="7" applyFont="1" applyBorder="1" applyAlignment="1">
      <alignment horizontal="right" vertical="center" shrinkToFit="1"/>
    </xf>
    <xf numFmtId="41" fontId="22" fillId="0" borderId="0" xfId="5" applyNumberFormat="1" applyFont="1" applyAlignment="1">
      <alignment vertical="center"/>
    </xf>
    <xf numFmtId="41" fontId="22" fillId="0" borderId="36" xfId="7" applyFont="1" applyBorder="1" applyAlignment="1">
      <alignment horizontal="right" vertical="center" shrinkToFit="1"/>
    </xf>
    <xf numFmtId="0" fontId="22" fillId="0" borderId="19" xfId="0" applyFont="1" applyBorder="1" applyAlignment="1">
      <alignment horizontal="center" vertical="center" shrinkToFit="1"/>
    </xf>
    <xf numFmtId="41" fontId="22" fillId="0" borderId="17" xfId="0" applyNumberFormat="1" applyFont="1" applyBorder="1" applyAlignment="1">
      <alignment horizontal="right" vertical="center" shrinkToFit="1"/>
    </xf>
    <xf numFmtId="41" fontId="22" fillId="0" borderId="16" xfId="0" applyNumberFormat="1" applyFont="1" applyBorder="1" applyAlignment="1">
      <alignment horizontal="right" vertical="center" shrinkToFit="1"/>
    </xf>
    <xf numFmtId="41" fontId="22" fillId="0" borderId="18" xfId="0" applyNumberFormat="1" applyFont="1" applyBorder="1" applyAlignment="1">
      <alignment horizontal="right" vertical="center" shrinkToFit="1"/>
    </xf>
    <xf numFmtId="41" fontId="22" fillId="0" borderId="5" xfId="0" applyNumberFormat="1" applyFont="1" applyBorder="1" applyAlignment="1">
      <alignment horizontal="right" vertical="center" shrinkToFit="1"/>
    </xf>
    <xf numFmtId="41" fontId="22" fillId="0" borderId="0" xfId="0" applyNumberFormat="1" applyFont="1" applyAlignment="1">
      <alignment horizontal="right" vertical="center" shrinkToFit="1"/>
    </xf>
    <xf numFmtId="0" fontId="26" fillId="2" borderId="0" xfId="5" applyFont="1" applyFill="1" applyAlignment="1">
      <alignment horizontal="center" vertical="center" shrinkToFit="1"/>
    </xf>
    <xf numFmtId="0" fontId="26" fillId="0" borderId="0" xfId="5" applyFont="1" applyAlignment="1">
      <alignment horizontal="center" vertical="center" shrinkToFit="1"/>
    </xf>
    <xf numFmtId="41" fontId="22" fillId="0" borderId="0" xfId="5" applyNumberFormat="1" applyFont="1" applyAlignment="1">
      <alignment horizontal="right" vertical="center" shrinkToFit="1"/>
    </xf>
    <xf numFmtId="41" fontId="22" fillId="0" borderId="16" xfId="5" applyNumberFormat="1" applyFont="1" applyBorder="1" applyAlignment="1">
      <alignment horizontal="right" vertical="center" shrinkToFit="1"/>
    </xf>
    <xf numFmtId="41" fontId="22" fillId="0" borderId="18" xfId="5" applyNumberFormat="1" applyFont="1" applyBorder="1" applyAlignment="1">
      <alignment horizontal="right" vertical="center" shrinkToFit="1"/>
    </xf>
    <xf numFmtId="41" fontId="22" fillId="0" borderId="5" xfId="5" applyNumberFormat="1" applyFont="1" applyBorder="1" applyAlignment="1">
      <alignment horizontal="right" vertical="center" shrinkToFit="1"/>
    </xf>
    <xf numFmtId="0" fontId="25" fillId="5" borderId="19" xfId="0" applyFont="1" applyFill="1" applyBorder="1" applyAlignment="1">
      <alignment horizontal="center" vertical="center" shrinkToFit="1"/>
    </xf>
    <xf numFmtId="0" fontId="27" fillId="0" borderId="0" xfId="5" applyFont="1" applyAlignment="1">
      <alignment horizontal="center" vertical="center" shrinkToFit="1"/>
    </xf>
    <xf numFmtId="0" fontId="22" fillId="0" borderId="19" xfId="5" applyFont="1" applyBorder="1" applyAlignment="1">
      <alignment vertical="center" shrinkToFit="1"/>
    </xf>
    <xf numFmtId="0" fontId="22" fillId="0" borderId="0" xfId="5" applyFont="1" applyAlignment="1">
      <alignment vertical="center" shrinkToFit="1"/>
    </xf>
    <xf numFmtId="177" fontId="22" fillId="0" borderId="5" xfId="5" applyNumberFormat="1" applyFont="1" applyBorder="1" applyAlignment="1">
      <alignment horizontal="distributed" vertical="center" wrapText="1"/>
    </xf>
    <xf numFmtId="41" fontId="22" fillId="0" borderId="0" xfId="9" applyFont="1" applyAlignment="1" applyProtection="1">
      <alignment vertical="center"/>
      <protection locked="0"/>
    </xf>
    <xf numFmtId="41" fontId="22" fillId="0" borderId="0" xfId="1" applyFont="1" applyAlignment="1">
      <alignment horizontal="right" vertical="center"/>
    </xf>
    <xf numFmtId="41" fontId="22" fillId="0" borderId="0" xfId="1" applyFont="1">
      <alignment vertical="center"/>
    </xf>
    <xf numFmtId="0" fontId="26" fillId="2" borderId="0" xfId="5" applyFont="1" applyFill="1" applyAlignment="1">
      <alignment vertical="center"/>
    </xf>
    <xf numFmtId="0" fontId="26" fillId="0" borderId="0" xfId="5" applyFont="1" applyAlignment="1">
      <alignment vertical="center"/>
    </xf>
    <xf numFmtId="41" fontId="25" fillId="5" borderId="0" xfId="1" applyFont="1" applyFill="1" applyAlignment="1">
      <alignment horizontal="right" vertical="center"/>
    </xf>
    <xf numFmtId="41" fontId="25" fillId="5" borderId="0" xfId="1" applyFont="1" applyFill="1">
      <alignment vertical="center"/>
    </xf>
    <xf numFmtId="0" fontId="27" fillId="0" borderId="0" xfId="5" applyFont="1" applyAlignment="1">
      <alignment vertical="center"/>
    </xf>
    <xf numFmtId="0" fontId="25" fillId="0" borderId="5" xfId="5" applyFont="1" applyBorder="1" applyAlignment="1">
      <alignment horizontal="center" vertical="center"/>
    </xf>
    <xf numFmtId="41" fontId="25" fillId="0" borderId="0" xfId="9" applyFont="1" applyAlignment="1">
      <alignment horizontal="right" vertical="center"/>
    </xf>
    <xf numFmtId="41" fontId="25" fillId="0" borderId="0" xfId="9" applyFont="1" applyAlignment="1">
      <alignment vertical="center"/>
    </xf>
    <xf numFmtId="41" fontId="22" fillId="0" borderId="0" xfId="9" applyFont="1" applyAlignment="1">
      <alignment horizontal="right" vertical="center"/>
    </xf>
    <xf numFmtId="3" fontId="22" fillId="0" borderId="0" xfId="5" applyNumberFormat="1" applyFont="1" applyAlignment="1">
      <alignment horizontal="right" vertical="center" wrapText="1"/>
    </xf>
    <xf numFmtId="0" fontId="22" fillId="0" borderId="8" xfId="5" applyFont="1" applyBorder="1" applyAlignment="1">
      <alignment vertical="center"/>
    </xf>
    <xf numFmtId="0" fontId="22" fillId="0" borderId="5" xfId="4" applyFont="1" applyBorder="1" applyAlignment="1">
      <alignment horizontal="center" vertical="center"/>
    </xf>
    <xf numFmtId="176" fontId="22" fillId="0" borderId="0" xfId="4" applyNumberFormat="1" applyFont="1" applyAlignment="1">
      <alignment horizontal="center" vertical="center" shrinkToFit="1"/>
    </xf>
    <xf numFmtId="176" fontId="22" fillId="0" borderId="0" xfId="4" applyNumberFormat="1" applyFont="1" applyAlignment="1" applyProtection="1">
      <alignment horizontal="center" vertical="center" shrinkToFit="1"/>
      <protection locked="0"/>
    </xf>
    <xf numFmtId="0" fontId="22" fillId="0" borderId="0" xfId="4" applyFont="1" applyAlignment="1">
      <alignment vertical="center"/>
    </xf>
    <xf numFmtId="0" fontId="22" fillId="2" borderId="0" xfId="4" applyFont="1" applyFill="1" applyAlignment="1">
      <alignment vertical="center"/>
    </xf>
    <xf numFmtId="176" fontId="22" fillId="0" borderId="0" xfId="5" applyNumberFormat="1" applyFont="1" applyAlignment="1">
      <alignment horizontal="center" vertical="center" shrinkToFit="1"/>
    </xf>
    <xf numFmtId="176" fontId="22" fillId="0" borderId="0" xfId="5" applyNumberFormat="1" applyFont="1" applyAlignment="1" applyProtection="1">
      <alignment horizontal="center" vertical="center" shrinkToFit="1"/>
      <protection locked="0"/>
    </xf>
    <xf numFmtId="0" fontId="25" fillId="5" borderId="5" xfId="4" applyFont="1" applyFill="1" applyBorder="1" applyAlignment="1">
      <alignment horizontal="center" vertical="center"/>
    </xf>
    <xf numFmtId="0" fontId="22" fillId="0" borderId="5" xfId="4" applyFont="1" applyBorder="1" applyAlignment="1">
      <alignment vertical="center"/>
    </xf>
    <xf numFmtId="0" fontId="25" fillId="0" borderId="0" xfId="4" applyFont="1" applyAlignment="1">
      <alignment vertical="center"/>
    </xf>
    <xf numFmtId="41" fontId="22" fillId="0" borderId="0" xfId="1" applyFont="1" applyAlignment="1">
      <alignment horizontal="right" vertical="center" shrinkToFit="1"/>
    </xf>
    <xf numFmtId="41" fontId="22" fillId="0" borderId="0" xfId="1" applyFont="1" applyAlignment="1" applyProtection="1">
      <alignment horizontal="right" vertical="center" shrinkToFit="1"/>
      <protection locked="0"/>
    </xf>
    <xf numFmtId="41" fontId="22" fillId="0" borderId="0" xfId="1" applyFont="1" applyAlignment="1" applyProtection="1">
      <alignment vertical="center" shrinkToFit="1"/>
      <protection locked="0"/>
    </xf>
    <xf numFmtId="0" fontId="26" fillId="2" borderId="0" xfId="8" applyFont="1" applyFill="1" applyAlignment="1">
      <alignment horizontal="center" vertical="center"/>
    </xf>
    <xf numFmtId="0" fontId="26" fillId="0" borderId="0" xfId="8" applyFont="1" applyAlignment="1">
      <alignment horizontal="center" vertical="center"/>
    </xf>
    <xf numFmtId="41" fontId="22" fillId="0" borderId="0" xfId="6" applyFont="1" applyAlignment="1">
      <alignment horizontal="right" vertical="center" shrinkToFit="1"/>
    </xf>
    <xf numFmtId="41" fontId="22" fillId="0" borderId="0" xfId="6" applyFont="1" applyAlignment="1" applyProtection="1">
      <alignment horizontal="right" vertical="center" shrinkToFit="1"/>
      <protection locked="0"/>
    </xf>
    <xf numFmtId="41" fontId="22" fillId="0" borderId="0" xfId="6" applyFont="1" applyAlignment="1" applyProtection="1">
      <alignment vertical="center" shrinkToFit="1"/>
      <protection locked="0"/>
    </xf>
    <xf numFmtId="0" fontId="27" fillId="0" borderId="0" xfId="8" applyFont="1" applyAlignment="1">
      <alignment horizontal="center" vertical="center"/>
    </xf>
    <xf numFmtId="0" fontId="25" fillId="5" borderId="5" xfId="10" applyFont="1" applyFill="1" applyBorder="1" applyAlignment="1">
      <alignment horizontal="center" vertical="center"/>
    </xf>
    <xf numFmtId="41" fontId="25" fillId="5" borderId="0" xfId="6" applyFont="1" applyFill="1" applyAlignment="1">
      <alignment horizontal="right" vertical="center" shrinkToFit="1"/>
    </xf>
    <xf numFmtId="41" fontId="25" fillId="5" borderId="0" xfId="6" applyFont="1" applyFill="1" applyAlignment="1" applyProtection="1">
      <alignment horizontal="right" vertical="center" shrinkToFit="1"/>
      <protection locked="0"/>
    </xf>
    <xf numFmtId="41" fontId="25" fillId="5" borderId="0" xfId="6" applyFont="1" applyFill="1" applyAlignment="1" applyProtection="1">
      <alignment vertical="center" shrinkToFit="1"/>
      <protection locked="0"/>
    </xf>
    <xf numFmtId="41" fontId="22" fillId="0" borderId="0" xfId="1" applyFont="1" applyAlignment="1">
      <alignment vertical="center" shrinkToFit="1"/>
    </xf>
    <xf numFmtId="0" fontId="22" fillId="2" borderId="0" xfId="8" applyFont="1" applyFill="1" applyAlignment="1">
      <alignment vertical="center"/>
    </xf>
    <xf numFmtId="0" fontId="22" fillId="0" borderId="0" xfId="8" applyFont="1" applyAlignment="1">
      <alignment vertical="center"/>
    </xf>
    <xf numFmtId="41" fontId="22" fillId="0" borderId="0" xfId="6" applyFont="1" applyAlignment="1">
      <alignment vertical="center" shrinkToFit="1"/>
    </xf>
    <xf numFmtId="0" fontId="25" fillId="0" borderId="0" xfId="8" applyFont="1" applyAlignment="1">
      <alignment vertical="center"/>
    </xf>
    <xf numFmtId="41" fontId="25" fillId="5" borderId="0" xfId="6" applyFont="1" applyFill="1" applyAlignment="1">
      <alignment vertical="center" shrinkToFit="1"/>
    </xf>
    <xf numFmtId="0" fontId="28" fillId="0" borderId="0" xfId="2" applyNumberFormat="1" applyFont="1" applyAlignment="1">
      <alignment horizontal="center" vertical="center" wrapText="1"/>
    </xf>
    <xf numFmtId="0" fontId="19" fillId="0" borderId="0" xfId="0" applyNumberFormat="1" applyFont="1" applyAlignment="1"/>
    <xf numFmtId="0" fontId="15" fillId="0" borderId="0" xfId="3" applyNumberFormat="1" applyFont="1" applyAlignment="1">
      <alignment horizontal="left" vertical="center" wrapText="1"/>
    </xf>
    <xf numFmtId="0" fontId="15" fillId="0" borderId="0" xfId="3" applyNumberFormat="1" applyFont="1" applyAlignment="1">
      <alignment horizontal="left" vertical="center"/>
    </xf>
    <xf numFmtId="0" fontId="18" fillId="0" borderId="0" xfId="4" applyNumberFormat="1" applyFont="1" applyFill="1" applyAlignment="1">
      <alignment horizontal="center" vertical="center"/>
    </xf>
    <xf numFmtId="0" fontId="22" fillId="5" borderId="23" xfId="4" applyNumberFormat="1" applyFont="1" applyFill="1" applyBorder="1" applyAlignment="1">
      <alignment horizontal="center" vertical="center" wrapText="1"/>
    </xf>
    <xf numFmtId="0" fontId="22" fillId="5" borderId="5" xfId="4" applyNumberFormat="1" applyFont="1" applyFill="1" applyBorder="1" applyAlignment="1">
      <alignment horizontal="center" vertical="center" wrapText="1"/>
    </xf>
    <xf numFmtId="0" fontId="22" fillId="5" borderId="20" xfId="4" applyNumberFormat="1" applyFont="1" applyFill="1" applyBorder="1" applyAlignment="1">
      <alignment horizontal="center" vertical="center"/>
    </xf>
    <xf numFmtId="0" fontId="22" fillId="5" borderId="23" xfId="4" applyNumberFormat="1" applyFont="1" applyFill="1" applyBorder="1" applyAlignment="1">
      <alignment horizontal="center" vertical="center"/>
    </xf>
    <xf numFmtId="0" fontId="22" fillId="5" borderId="29" xfId="4" applyNumberFormat="1" applyFont="1" applyFill="1" applyBorder="1" applyAlignment="1">
      <alignment horizontal="center" vertical="center"/>
    </xf>
    <xf numFmtId="0" fontId="22" fillId="5" borderId="4" xfId="4" applyNumberFormat="1" applyFont="1" applyFill="1" applyBorder="1" applyAlignment="1">
      <alignment horizontal="center" vertical="center"/>
    </xf>
    <xf numFmtId="0" fontId="22" fillId="5" borderId="0" xfId="4" applyNumberFormat="1" applyFont="1" applyFill="1" applyBorder="1" applyAlignment="1">
      <alignment horizontal="center" vertical="center"/>
    </xf>
    <xf numFmtId="0" fontId="22" fillId="5" borderId="5" xfId="4" applyNumberFormat="1" applyFont="1" applyFill="1" applyBorder="1" applyAlignment="1">
      <alignment horizontal="center" vertical="center"/>
    </xf>
    <xf numFmtId="0" fontId="22" fillId="5" borderId="6" xfId="4" applyNumberFormat="1" applyFont="1" applyFill="1" applyBorder="1" applyAlignment="1">
      <alignment horizontal="center" vertical="center"/>
    </xf>
    <xf numFmtId="0" fontId="22" fillId="5" borderId="11" xfId="4" applyNumberFormat="1" applyFont="1" applyFill="1" applyBorder="1" applyAlignment="1">
      <alignment horizontal="center" vertical="center"/>
    </xf>
    <xf numFmtId="0" fontId="22" fillId="5" borderId="5" xfId="4" applyNumberFormat="1" applyFont="1" applyFill="1" applyBorder="1" applyAlignment="1">
      <alignment horizontal="center" vertical="center" shrinkToFit="1"/>
    </xf>
    <xf numFmtId="0" fontId="22" fillId="5" borderId="14" xfId="4" applyNumberFormat="1" applyFont="1" applyFill="1" applyBorder="1" applyAlignment="1">
      <alignment horizontal="center" vertical="center" shrinkToFit="1"/>
    </xf>
    <xf numFmtId="0" fontId="22" fillId="5" borderId="4" xfId="4" applyNumberFormat="1" applyFont="1" applyFill="1" applyBorder="1" applyAlignment="1">
      <alignment horizontal="center" vertical="center" shrinkToFit="1"/>
    </xf>
    <xf numFmtId="0" fontId="22" fillId="5" borderId="12" xfId="4" applyNumberFormat="1" applyFont="1" applyFill="1" applyBorder="1" applyAlignment="1">
      <alignment horizontal="center" vertical="center" shrinkToFit="1"/>
    </xf>
    <xf numFmtId="0" fontId="22" fillId="5" borderId="6" xfId="4" applyNumberFormat="1" applyFont="1" applyFill="1" applyBorder="1" applyAlignment="1">
      <alignment horizontal="center" vertical="center" shrinkToFit="1"/>
    </xf>
    <xf numFmtId="0" fontId="22" fillId="5" borderId="11" xfId="4" applyNumberFormat="1" applyFont="1" applyFill="1" applyBorder="1" applyAlignment="1">
      <alignment horizontal="center" vertical="center" shrinkToFit="1"/>
    </xf>
    <xf numFmtId="0" fontId="18" fillId="0" borderId="0" xfId="0" applyNumberFormat="1" applyFont="1" applyFill="1" applyAlignment="1">
      <alignment horizontal="center" vertical="center"/>
    </xf>
    <xf numFmtId="0" fontId="18" fillId="0" borderId="0" xfId="0" applyNumberFormat="1" applyFont="1" applyFill="1" applyAlignment="1">
      <alignment horizontal="center" vertical="center" shrinkToFit="1"/>
    </xf>
    <xf numFmtId="0" fontId="22" fillId="5" borderId="23" xfId="0" applyNumberFormat="1" applyFont="1" applyFill="1" applyBorder="1" applyAlignment="1">
      <alignment horizontal="center" vertical="center" wrapText="1"/>
    </xf>
    <xf numFmtId="0" fontId="22" fillId="5" borderId="5" xfId="0" applyNumberFormat="1" applyFont="1" applyFill="1" applyBorder="1" applyAlignment="1">
      <alignment horizontal="center" vertical="center" wrapText="1"/>
    </xf>
    <xf numFmtId="0" fontId="22" fillId="5" borderId="14" xfId="0" applyNumberFormat="1" applyFont="1" applyFill="1" applyBorder="1" applyAlignment="1">
      <alignment horizontal="center" vertical="center" wrapText="1"/>
    </xf>
    <xf numFmtId="0" fontId="22" fillId="5" borderId="24" xfId="0" applyNumberFormat="1" applyFont="1" applyFill="1" applyBorder="1" applyAlignment="1">
      <alignment horizontal="center" vertical="center"/>
    </xf>
    <xf numFmtId="0" fontId="22" fillId="5" borderId="26" xfId="0" applyNumberFormat="1" applyFont="1" applyFill="1" applyBorder="1" applyAlignment="1">
      <alignment horizontal="center" vertical="center"/>
    </xf>
    <xf numFmtId="0" fontId="22" fillId="5" borderId="5" xfId="0" applyNumberFormat="1" applyFont="1" applyFill="1" applyBorder="1" applyAlignment="1">
      <alignment horizontal="center" vertical="center"/>
    </xf>
    <xf numFmtId="0" fontId="22" fillId="5" borderId="14" xfId="0" applyNumberFormat="1" applyFont="1" applyFill="1" applyBorder="1" applyAlignment="1">
      <alignment horizontal="center" vertical="center"/>
    </xf>
    <xf numFmtId="0" fontId="22" fillId="5" borderId="24" xfId="0" applyNumberFormat="1" applyFont="1" applyFill="1" applyBorder="1" applyAlignment="1">
      <alignment horizontal="center" vertical="center" shrinkToFit="1"/>
    </xf>
    <xf numFmtId="0" fontId="22" fillId="5" borderId="26" xfId="0" applyNumberFormat="1" applyFont="1" applyFill="1" applyBorder="1" applyAlignment="1">
      <alignment horizontal="center" vertical="center" shrinkToFit="1"/>
    </xf>
    <xf numFmtId="0" fontId="22" fillId="5" borderId="27" xfId="0" applyNumberFormat="1" applyFont="1" applyFill="1" applyBorder="1" applyAlignment="1">
      <alignment horizontal="center" vertical="center"/>
    </xf>
    <xf numFmtId="0" fontId="22" fillId="5" borderId="9" xfId="0" applyNumberFormat="1" applyFont="1" applyFill="1" applyBorder="1" applyAlignment="1">
      <alignment horizontal="center" vertical="center"/>
    </xf>
    <xf numFmtId="0" fontId="22" fillId="5" borderId="28" xfId="0" applyNumberFormat="1" applyFont="1" applyFill="1" applyBorder="1" applyAlignment="1">
      <alignment horizontal="center" vertical="center"/>
    </xf>
    <xf numFmtId="0" fontId="22" fillId="5" borderId="25" xfId="0" applyNumberFormat="1" applyFont="1" applyFill="1" applyBorder="1" applyAlignment="1">
      <alignment horizontal="center" vertical="center" shrinkToFit="1"/>
    </xf>
    <xf numFmtId="0" fontId="22" fillId="5" borderId="27" xfId="0" applyNumberFormat="1" applyFont="1" applyFill="1" applyBorder="1" applyAlignment="1">
      <alignment horizontal="center" vertical="center" shrinkToFit="1"/>
    </xf>
    <xf numFmtId="0" fontId="22" fillId="5" borderId="9" xfId="0" applyNumberFormat="1" applyFont="1" applyFill="1" applyBorder="1" applyAlignment="1">
      <alignment horizontal="center" vertical="center" shrinkToFit="1"/>
    </xf>
    <xf numFmtId="0" fontId="22" fillId="5" borderId="28" xfId="0" applyNumberFormat="1" applyFont="1" applyFill="1" applyBorder="1" applyAlignment="1">
      <alignment horizontal="center" vertical="center" shrinkToFit="1"/>
    </xf>
    <xf numFmtId="0" fontId="22" fillId="5" borderId="13" xfId="0" applyNumberFormat="1" applyFont="1" applyFill="1" applyBorder="1" applyAlignment="1">
      <alignment horizontal="center" vertical="center" shrinkToFit="1"/>
    </xf>
    <xf numFmtId="0" fontId="22" fillId="5" borderId="6" xfId="0" applyNumberFormat="1" applyFont="1" applyFill="1" applyBorder="1" applyAlignment="1">
      <alignment horizontal="center" vertical="center" shrinkToFit="1"/>
    </xf>
    <xf numFmtId="0" fontId="22" fillId="5" borderId="6" xfId="0" applyNumberFormat="1" applyFont="1" applyFill="1" applyBorder="1" applyAlignment="1">
      <alignment horizontal="center" vertical="center" wrapText="1"/>
    </xf>
    <xf numFmtId="0" fontId="22" fillId="5" borderId="11" xfId="0" applyNumberFormat="1" applyFont="1" applyFill="1" applyBorder="1" applyAlignment="1">
      <alignment horizontal="center" vertical="center" wrapText="1"/>
    </xf>
    <xf numFmtId="0" fontId="22" fillId="5" borderId="6" xfId="0" applyNumberFormat="1" applyFont="1" applyFill="1" applyBorder="1" applyAlignment="1">
      <alignment horizontal="center" vertical="center" wrapText="1" shrinkToFit="1"/>
    </xf>
    <xf numFmtId="0" fontId="22" fillId="5" borderId="11" xfId="0" applyNumberFormat="1" applyFont="1" applyFill="1" applyBorder="1" applyAlignment="1">
      <alignment horizontal="center" vertical="center" wrapText="1" shrinkToFit="1"/>
    </xf>
    <xf numFmtId="0" fontId="22" fillId="5" borderId="7" xfId="0" applyNumberFormat="1" applyFont="1" applyFill="1" applyBorder="1" applyAlignment="1">
      <alignment horizontal="center" vertical="center" shrinkToFit="1"/>
    </xf>
    <xf numFmtId="0" fontId="22" fillId="5" borderId="5" xfId="0" applyNumberFormat="1" applyFont="1" applyFill="1" applyBorder="1" applyAlignment="1">
      <alignment horizontal="center" vertical="center" shrinkToFit="1"/>
    </xf>
    <xf numFmtId="0" fontId="22" fillId="5" borderId="4" xfId="0" applyNumberFormat="1" applyFont="1" applyFill="1" applyBorder="1" applyAlignment="1">
      <alignment horizontal="center" vertical="center" wrapText="1"/>
    </xf>
    <xf numFmtId="0" fontId="22" fillId="5" borderId="4" xfId="0" applyNumberFormat="1" applyFont="1" applyFill="1" applyBorder="1" applyAlignment="1">
      <alignment horizontal="center" vertical="center"/>
    </xf>
    <xf numFmtId="0" fontId="22" fillId="5" borderId="12" xfId="0" applyNumberFormat="1" applyFont="1" applyFill="1" applyBorder="1" applyAlignment="1">
      <alignment horizontal="center" vertical="center"/>
    </xf>
    <xf numFmtId="0" fontId="22" fillId="5" borderId="22" xfId="0" applyNumberFormat="1" applyFont="1" applyFill="1" applyBorder="1" applyAlignment="1">
      <alignment horizontal="center" vertical="center" shrinkToFit="1"/>
    </xf>
    <xf numFmtId="0" fontId="22" fillId="5" borderId="4" xfId="0" applyNumberFormat="1" applyFont="1" applyFill="1" applyBorder="1" applyAlignment="1">
      <alignment horizontal="center" vertical="center" shrinkToFit="1"/>
    </xf>
    <xf numFmtId="0" fontId="22" fillId="5" borderId="0" xfId="0" applyNumberFormat="1" applyFont="1" applyFill="1" applyBorder="1" applyAlignment="1">
      <alignment horizontal="distributed" vertical="center" wrapText="1"/>
    </xf>
    <xf numFmtId="0" fontId="22" fillId="5" borderId="21" xfId="0" applyNumberFormat="1" applyFont="1" applyFill="1" applyBorder="1" applyAlignment="1">
      <alignment horizontal="distributed" vertical="center" wrapText="1"/>
    </xf>
    <xf numFmtId="0" fontId="22" fillId="5" borderId="12" xfId="0" applyNumberFormat="1" applyFont="1" applyFill="1" applyBorder="1" applyAlignment="1">
      <alignment horizontal="center" vertical="center" shrinkToFit="1"/>
    </xf>
    <xf numFmtId="0" fontId="22" fillId="5" borderId="14" xfId="0" applyNumberFormat="1" applyFont="1" applyFill="1" applyBorder="1" applyAlignment="1">
      <alignment horizontal="center" vertical="center" shrinkToFit="1"/>
    </xf>
    <xf numFmtId="0" fontId="22" fillId="5" borderId="7" xfId="0" applyNumberFormat="1" applyFont="1" applyFill="1" applyBorder="1" applyAlignment="1">
      <alignment horizontal="center" vertical="center" wrapText="1"/>
    </xf>
    <xf numFmtId="0" fontId="22" fillId="5" borderId="13" xfId="0" applyNumberFormat="1" applyFont="1" applyFill="1" applyBorder="1" applyAlignment="1">
      <alignment horizontal="center" vertical="center" wrapText="1"/>
    </xf>
    <xf numFmtId="0" fontId="18" fillId="0" borderId="0" xfId="0" applyNumberFormat="1" applyFont="1" applyFill="1" applyBorder="1" applyAlignment="1">
      <alignment horizontal="center" vertical="center"/>
    </xf>
    <xf numFmtId="0" fontId="22" fillId="5" borderId="23" xfId="0" applyNumberFormat="1" applyFont="1" applyFill="1" applyBorder="1" applyAlignment="1">
      <alignment horizontal="distributed" vertical="center" wrapText="1"/>
    </xf>
    <xf numFmtId="0" fontId="22" fillId="5" borderId="5" xfId="0" applyNumberFormat="1" applyFont="1" applyFill="1" applyBorder="1" applyAlignment="1">
      <alignment horizontal="distributed" vertical="center" wrapText="1"/>
    </xf>
    <xf numFmtId="0" fontId="22" fillId="5" borderId="13" xfId="0" applyNumberFormat="1" applyFont="1" applyFill="1" applyBorder="1" applyAlignment="1">
      <alignment horizontal="center" vertical="center" wrapText="1" shrinkToFit="1"/>
    </xf>
    <xf numFmtId="0" fontId="22" fillId="5" borderId="27" xfId="0" applyNumberFormat="1" applyFont="1" applyFill="1" applyBorder="1" applyAlignment="1">
      <alignment horizontal="center" vertical="center" wrapText="1"/>
    </xf>
    <xf numFmtId="0" fontId="22" fillId="5" borderId="28" xfId="0" applyNumberFormat="1" applyFont="1" applyFill="1" applyBorder="1" applyAlignment="1">
      <alignment horizontal="center" vertical="center" wrapText="1"/>
    </xf>
    <xf numFmtId="0" fontId="22" fillId="5" borderId="9" xfId="0" applyNumberFormat="1" applyFont="1" applyFill="1" applyBorder="1" applyAlignment="1">
      <alignment horizontal="center" vertical="center" wrapText="1"/>
    </xf>
    <xf numFmtId="0" fontId="22" fillId="5" borderId="6" xfId="0" applyNumberFormat="1" applyFont="1" applyFill="1" applyBorder="1" applyAlignment="1">
      <alignment horizontal="center" vertical="center"/>
    </xf>
    <xf numFmtId="0" fontId="22" fillId="5" borderId="11" xfId="0" applyNumberFormat="1" applyFont="1" applyFill="1" applyBorder="1" applyAlignment="1">
      <alignment horizontal="center" vertical="center"/>
    </xf>
    <xf numFmtId="0" fontId="22" fillId="5" borderId="31" xfId="0" applyNumberFormat="1" applyFont="1" applyFill="1" applyBorder="1" applyAlignment="1">
      <alignment horizontal="center" vertical="center" wrapText="1"/>
    </xf>
    <xf numFmtId="0" fontId="22" fillId="5" borderId="11" xfId="0" applyNumberFormat="1" applyFont="1" applyFill="1" applyBorder="1" applyAlignment="1">
      <alignment horizontal="center" vertical="center" shrinkToFit="1"/>
    </xf>
    <xf numFmtId="0" fontId="29" fillId="0" borderId="0" xfId="0" applyNumberFormat="1" applyFont="1" applyFill="1" applyAlignment="1">
      <alignment horizontal="center" vertical="center"/>
    </xf>
    <xf numFmtId="0" fontId="4" fillId="0" borderId="1" xfId="0" applyNumberFormat="1" applyFont="1" applyFill="1" applyBorder="1" applyAlignment="1">
      <alignment horizontal="right" vertical="center"/>
    </xf>
    <xf numFmtId="0" fontId="9" fillId="3" borderId="23" xfId="0" applyNumberFormat="1" applyFont="1" applyFill="1" applyBorder="1" applyAlignment="1">
      <alignment horizontal="center" vertical="center" wrapText="1"/>
    </xf>
    <xf numFmtId="0" fontId="9" fillId="3" borderId="5" xfId="0" applyNumberFormat="1" applyFont="1" applyFill="1" applyBorder="1" applyAlignment="1">
      <alignment horizontal="center" vertical="center" wrapText="1"/>
    </xf>
    <xf numFmtId="0" fontId="9" fillId="3" borderId="14" xfId="0" applyNumberFormat="1" applyFont="1" applyFill="1" applyBorder="1" applyAlignment="1">
      <alignment horizontal="center" vertical="center" wrapText="1"/>
    </xf>
    <xf numFmtId="0" fontId="9" fillId="3" borderId="31" xfId="0" applyNumberFormat="1" applyFont="1" applyFill="1" applyBorder="1" applyAlignment="1">
      <alignment horizontal="center" vertical="center" wrapText="1"/>
    </xf>
    <xf numFmtId="0" fontId="3" fillId="3" borderId="6" xfId="0" applyNumberFormat="1" applyFont="1" applyFill="1" applyBorder="1" applyAlignment="1">
      <alignment horizontal="center" vertical="center" wrapText="1"/>
    </xf>
    <xf numFmtId="0" fontId="3" fillId="3" borderId="11" xfId="0" applyNumberFormat="1" applyFont="1" applyFill="1" applyBorder="1" applyAlignment="1">
      <alignment horizontal="center" vertical="center" wrapText="1"/>
    </xf>
    <xf numFmtId="0" fontId="9" fillId="3" borderId="29" xfId="0" applyNumberFormat="1" applyFont="1" applyFill="1" applyBorder="1" applyAlignment="1">
      <alignment horizontal="center" vertical="center" wrapText="1" shrinkToFit="1"/>
    </xf>
    <xf numFmtId="0" fontId="9" fillId="3" borderId="4" xfId="0" applyNumberFormat="1" applyFont="1" applyFill="1" applyBorder="1" applyAlignment="1">
      <alignment horizontal="center" vertical="center" wrapText="1" shrinkToFit="1"/>
    </xf>
    <xf numFmtId="0" fontId="9" fillId="3" borderId="12" xfId="0" applyNumberFormat="1" applyFont="1" applyFill="1" applyBorder="1" applyAlignment="1">
      <alignment horizontal="center" vertical="center" wrapText="1" shrinkToFit="1"/>
    </xf>
    <xf numFmtId="41" fontId="25" fillId="5" borderId="30" xfId="5" applyNumberFormat="1" applyFont="1" applyFill="1" applyBorder="1" applyAlignment="1">
      <alignment horizontal="right" vertical="center" shrinkToFit="1"/>
    </xf>
    <xf numFmtId="0" fontId="22" fillId="0" borderId="30" xfId="5" applyFont="1" applyBorder="1" applyAlignment="1">
      <alignment vertical="center" shrinkToFit="1"/>
    </xf>
    <xf numFmtId="0" fontId="22" fillId="0" borderId="30" xfId="5" applyFont="1" applyBorder="1" applyAlignment="1">
      <alignment horizontal="center" vertical="center" shrinkToFit="1"/>
    </xf>
    <xf numFmtId="41" fontId="22" fillId="0" borderId="30" xfId="9" applyFont="1" applyBorder="1" applyAlignment="1" applyProtection="1">
      <alignment vertical="center"/>
      <protection locked="0"/>
    </xf>
    <xf numFmtId="41" fontId="22" fillId="0" borderId="30" xfId="5" applyNumberFormat="1" applyFont="1" applyBorder="1" applyAlignment="1">
      <alignment vertical="center" shrinkToFit="1"/>
    </xf>
    <xf numFmtId="41" fontId="22" fillId="2" borderId="30" xfId="5" applyNumberFormat="1" applyFont="1" applyFill="1" applyBorder="1" applyAlignment="1">
      <alignment horizontal="right" vertical="center" shrinkToFit="1"/>
    </xf>
    <xf numFmtId="41" fontId="22" fillId="0" borderId="30" xfId="9" applyFont="1" applyBorder="1" applyAlignment="1">
      <alignment vertical="center" shrinkToFit="1"/>
    </xf>
    <xf numFmtId="179" fontId="22" fillId="0" borderId="0" xfId="0" applyNumberFormat="1" applyFont="1" applyAlignment="1"/>
    <xf numFmtId="3" fontId="22" fillId="0" borderId="0" xfId="0" applyNumberFormat="1" applyFont="1">
      <alignment vertical="center"/>
    </xf>
    <xf numFmtId="0" fontId="22" fillId="0" borderId="5" xfId="10" applyFont="1" applyBorder="1" applyAlignment="1">
      <alignment horizontal="center" vertical="center"/>
    </xf>
    <xf numFmtId="0" fontId="22" fillId="0" borderId="2" xfId="8" applyFont="1" applyBorder="1" applyAlignment="1">
      <alignment horizontal="center" vertical="center"/>
    </xf>
    <xf numFmtId="0" fontId="22" fillId="0" borderId="1" xfId="8" applyFont="1" applyBorder="1" applyAlignment="1">
      <alignment horizontal="center" vertical="center"/>
    </xf>
    <xf numFmtId="0" fontId="22" fillId="5" borderId="23" xfId="8" applyFont="1" applyFill="1" applyBorder="1" applyAlignment="1">
      <alignment horizontal="center" vertical="center" wrapText="1"/>
    </xf>
    <xf numFmtId="0" fontId="22" fillId="5" borderId="27" xfId="8" applyFont="1" applyFill="1" applyBorder="1" applyAlignment="1">
      <alignment horizontal="center" vertical="center"/>
    </xf>
    <xf numFmtId="0" fontId="22" fillId="5" borderId="28" xfId="8" applyFont="1" applyFill="1" applyBorder="1" applyAlignment="1">
      <alignment horizontal="center" vertical="center"/>
    </xf>
    <xf numFmtId="0" fontId="22" fillId="5" borderId="9" xfId="8" applyFont="1" applyFill="1" applyBorder="1" applyAlignment="1">
      <alignment horizontal="center" vertical="center"/>
    </xf>
    <xf numFmtId="0" fontId="22" fillId="5" borderId="5" xfId="8" applyFont="1" applyFill="1" applyBorder="1" applyAlignment="1">
      <alignment horizontal="center" vertical="center" wrapText="1"/>
    </xf>
    <xf numFmtId="0" fontId="22" fillId="5" borderId="24" xfId="8" applyFont="1" applyFill="1" applyBorder="1" applyAlignment="1">
      <alignment horizontal="center" vertical="center"/>
    </xf>
    <xf numFmtId="0" fontId="22" fillId="5" borderId="25" xfId="8" applyFont="1" applyFill="1" applyBorder="1" applyAlignment="1">
      <alignment horizontal="center" vertical="center"/>
    </xf>
    <xf numFmtId="0" fontId="22" fillId="5" borderId="26" xfId="8" applyFont="1" applyFill="1" applyBorder="1" applyAlignment="1">
      <alignment horizontal="center" vertical="center"/>
    </xf>
    <xf numFmtId="0" fontId="22" fillId="5" borderId="30" xfId="8" applyFont="1" applyFill="1" applyBorder="1" applyAlignment="1">
      <alignment horizontal="center" vertical="center"/>
    </xf>
    <xf numFmtId="0" fontId="22" fillId="5" borderId="30" xfId="8" applyFont="1" applyFill="1" applyBorder="1" applyAlignment="1">
      <alignment horizontal="center" vertical="center" shrinkToFit="1"/>
    </xf>
    <xf numFmtId="0" fontId="22" fillId="5" borderId="13" xfId="8" applyFont="1" applyFill="1" applyBorder="1" applyAlignment="1">
      <alignment horizontal="center" vertical="center"/>
    </xf>
    <xf numFmtId="0" fontId="22" fillId="5" borderId="7" xfId="8" applyFont="1" applyFill="1" applyBorder="1" applyAlignment="1">
      <alignment horizontal="center" vertical="center"/>
    </xf>
    <xf numFmtId="0" fontId="22" fillId="5" borderId="22" xfId="8" applyFont="1" applyFill="1" applyBorder="1" applyAlignment="1">
      <alignment horizontal="center" vertical="center"/>
    </xf>
    <xf numFmtId="0" fontId="22" fillId="5" borderId="14" xfId="8" applyFont="1" applyFill="1" applyBorder="1" applyAlignment="1">
      <alignment horizontal="center" vertical="center" wrapText="1"/>
    </xf>
    <xf numFmtId="0" fontId="22" fillId="5" borderId="12" xfId="8" applyFont="1" applyFill="1" applyBorder="1" applyAlignment="1">
      <alignment horizontal="center" vertical="center" wrapText="1"/>
    </xf>
    <xf numFmtId="0" fontId="22" fillId="5" borderId="11" xfId="8" applyFont="1" applyFill="1" applyBorder="1" applyAlignment="1">
      <alignment horizontal="center" vertical="center" wrapText="1"/>
    </xf>
    <xf numFmtId="0" fontId="22" fillId="5" borderId="21" xfId="8" applyFont="1" applyFill="1" applyBorder="1" applyAlignment="1">
      <alignment horizontal="center" vertical="center" wrapText="1"/>
    </xf>
    <xf numFmtId="0" fontId="22" fillId="0" borderId="5" xfId="8" applyFont="1" applyBorder="1" applyAlignment="1">
      <alignment horizontal="center" vertical="center"/>
    </xf>
    <xf numFmtId="0" fontId="22" fillId="0" borderId="0" xfId="8" applyFont="1"/>
  </cellXfs>
  <cellStyles count="11">
    <cellStyle name="쉼표 [0]" xfId="1" builtinId="6"/>
    <cellStyle name="쉼표 [0] 12" xfId="6" xr:uid="{00000000-0005-0000-0000-000006000000}"/>
    <cellStyle name="쉼표 [0] 2" xfId="9" xr:uid="{00000000-0005-0000-0000-000009000000}"/>
    <cellStyle name="쉼표 [0] 2 2 2 2" xfId="7" xr:uid="{00000000-0005-0000-0000-000007000000}"/>
    <cellStyle name="표준" xfId="0" builtinId="0"/>
    <cellStyle name="표준 2" xfId="5" xr:uid="{00000000-0005-0000-0000-000005000000}"/>
    <cellStyle name="표준 2 2" xfId="8" xr:uid="{00000000-0005-0000-0000-000008000000}"/>
    <cellStyle name="표준 3" xfId="4" xr:uid="{00000000-0005-0000-0000-000004000000}"/>
    <cellStyle name="표준 4" xfId="10" xr:uid="{65791DDB-5215-44EB-9B20-CEC740B2A30E}"/>
    <cellStyle name="표준_Ⅵ.농림수산업" xfId="2" xr:uid="{00000000-0005-0000-0000-000002000000}"/>
    <cellStyle name="표준_농가및농가인구" xfId="3" xr:uid="{00000000-0005-0000-0000-000003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9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zoomScaleNormal="100" zoomScaleSheetLayoutView="75" workbookViewId="0"/>
  </sheetViews>
  <sheetFormatPr defaultColWidth="8.88671875" defaultRowHeight="13.5"/>
  <sheetData/>
  <phoneticPr fontId="33" type="noConversion"/>
  <pageMargins left="0.75" right="0.75" top="1" bottom="1" header="0.5" footer="0.5"/>
  <pageSetup paperSize="9" fitToWidth="0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2060"/>
  </sheetPr>
  <dimension ref="B1:Q15"/>
  <sheetViews>
    <sheetView tabSelected="1" view="pageBreakPreview" zoomScaleNormal="100" zoomScaleSheetLayoutView="100" workbookViewId="0"/>
  </sheetViews>
  <sheetFormatPr defaultColWidth="8.88671875" defaultRowHeight="14.25"/>
  <cols>
    <col min="1" max="4" width="8.88671875" style="37"/>
    <col min="5" max="5" width="8.88671875" style="37" customWidth="1"/>
    <col min="6" max="7" width="8.88671875" style="37"/>
    <col min="8" max="8" width="10.6640625" style="37" customWidth="1"/>
    <col min="9" max="9" width="20.109375" style="37" customWidth="1"/>
    <col min="10" max="16384" width="8.88671875" style="37"/>
  </cols>
  <sheetData>
    <row r="1" spans="2:17" ht="21.75" customHeight="1"/>
    <row r="2" spans="2:17" s="39" customFormat="1" ht="33.75">
      <c r="B2" s="233" t="s">
        <v>21</v>
      </c>
      <c r="C2" s="234"/>
      <c r="D2" s="234"/>
      <c r="E2" s="234"/>
      <c r="F2" s="234"/>
      <c r="G2" s="234"/>
      <c r="H2" s="234"/>
      <c r="I2" s="38"/>
      <c r="J2" s="38"/>
    </row>
    <row r="3" spans="2:17" ht="45.75" customHeight="1">
      <c r="B3" s="231" t="s">
        <v>23</v>
      </c>
      <c r="C3" s="231"/>
      <c r="D3" s="231"/>
      <c r="E3" s="231"/>
      <c r="F3" s="231"/>
      <c r="G3" s="231"/>
      <c r="H3" s="231"/>
      <c r="K3" s="40"/>
    </row>
    <row r="4" spans="2:17" ht="27.75" customHeight="1">
      <c r="I4" s="40"/>
    </row>
    <row r="5" spans="2:17" ht="20.100000000000001" customHeight="1">
      <c r="C5" s="107" t="s">
        <v>149</v>
      </c>
      <c r="D5" s="107"/>
      <c r="E5" s="107"/>
      <c r="F5" s="107"/>
      <c r="G5" s="107"/>
      <c r="H5" s="107"/>
      <c r="I5" s="41"/>
      <c r="J5" s="41"/>
      <c r="K5" s="41"/>
      <c r="L5" s="41"/>
      <c r="M5" s="41"/>
      <c r="P5" s="42"/>
      <c r="Q5" s="42"/>
    </row>
    <row r="6" spans="2:17" ht="20.100000000000001" customHeight="1">
      <c r="C6" s="107" t="s">
        <v>245</v>
      </c>
      <c r="D6" s="107"/>
      <c r="E6" s="107"/>
      <c r="F6" s="107"/>
      <c r="G6" s="107"/>
      <c r="H6" s="107"/>
      <c r="I6" s="43"/>
      <c r="J6" s="43"/>
      <c r="K6" s="43"/>
      <c r="L6" s="43"/>
      <c r="M6" s="43"/>
      <c r="P6" s="44"/>
    </row>
    <row r="7" spans="2:17" ht="20.100000000000001" customHeight="1">
      <c r="C7" s="107" t="s">
        <v>10</v>
      </c>
      <c r="D7" s="107"/>
      <c r="E7" s="107"/>
      <c r="F7" s="107"/>
      <c r="G7" s="107"/>
      <c r="H7" s="107"/>
      <c r="I7" s="45"/>
      <c r="J7" s="45"/>
      <c r="K7" s="45"/>
      <c r="L7" s="45"/>
      <c r="M7" s="45"/>
    </row>
    <row r="8" spans="2:17" ht="20.100000000000001" customHeight="1">
      <c r="C8" s="232" t="s">
        <v>204</v>
      </c>
      <c r="D8" s="232"/>
      <c r="E8" s="232"/>
      <c r="F8" s="232"/>
      <c r="G8" s="232"/>
      <c r="H8" s="232"/>
      <c r="I8" s="46"/>
      <c r="J8" s="45"/>
      <c r="K8" s="45"/>
      <c r="L8" s="45"/>
      <c r="M8" s="45"/>
    </row>
    <row r="9" spans="2:17" ht="20.100000000000001" customHeight="1">
      <c r="C9" s="107" t="s">
        <v>161</v>
      </c>
      <c r="D9" s="107"/>
      <c r="E9" s="107"/>
      <c r="F9" s="107"/>
      <c r="G9" s="107"/>
      <c r="H9" s="107"/>
      <c r="I9" s="41"/>
      <c r="J9" s="41"/>
      <c r="K9" s="45"/>
      <c r="L9" s="45"/>
      <c r="M9" s="45"/>
    </row>
    <row r="10" spans="2:17" ht="20.100000000000001" customHeight="1">
      <c r="C10" s="107" t="s">
        <v>72</v>
      </c>
      <c r="D10" s="107"/>
      <c r="E10" s="107"/>
      <c r="F10" s="107"/>
      <c r="G10" s="107"/>
      <c r="H10" s="107"/>
      <c r="I10" s="41"/>
      <c r="J10" s="41"/>
      <c r="K10" s="45"/>
      <c r="L10" s="45"/>
      <c r="M10" s="45"/>
    </row>
    <row r="11" spans="2:17" ht="20.100000000000001" customHeight="1">
      <c r="C11" s="107" t="s">
        <v>16</v>
      </c>
      <c r="D11" s="107"/>
      <c r="E11" s="107"/>
      <c r="F11" s="107"/>
      <c r="G11" s="107"/>
      <c r="H11" s="107"/>
      <c r="I11" s="41"/>
      <c r="J11" s="45"/>
      <c r="K11" s="45"/>
      <c r="L11" s="45"/>
      <c r="M11" s="45"/>
    </row>
    <row r="12" spans="2:17" ht="20.100000000000001" customHeight="1">
      <c r="C12" s="107" t="s">
        <v>205</v>
      </c>
      <c r="D12" s="107"/>
      <c r="E12" s="107"/>
      <c r="F12" s="107"/>
      <c r="G12" s="107"/>
      <c r="H12" s="107"/>
      <c r="I12" s="43"/>
      <c r="J12" s="43"/>
      <c r="K12" s="43"/>
      <c r="L12" s="43"/>
      <c r="M12" s="45"/>
    </row>
    <row r="13" spans="2:17" ht="20.100000000000001" customHeight="1">
      <c r="C13" s="107" t="s">
        <v>164</v>
      </c>
      <c r="D13" s="107"/>
      <c r="E13" s="107"/>
      <c r="F13" s="107"/>
      <c r="G13" s="107"/>
      <c r="H13" s="107"/>
      <c r="I13" s="45"/>
      <c r="J13" s="45"/>
      <c r="K13" s="45"/>
      <c r="L13" s="45"/>
      <c r="M13" s="45"/>
    </row>
    <row r="14" spans="2:17" ht="20.100000000000001" customHeight="1">
      <c r="C14" s="107" t="s">
        <v>24</v>
      </c>
      <c r="D14" s="107"/>
      <c r="E14" s="107"/>
      <c r="F14" s="107"/>
      <c r="G14" s="107"/>
      <c r="H14" s="107"/>
      <c r="I14" s="45"/>
      <c r="J14" s="45"/>
      <c r="K14" s="45"/>
      <c r="L14" s="45"/>
      <c r="M14" s="45"/>
    </row>
    <row r="15" spans="2:17" ht="18.75"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</row>
  </sheetData>
  <mergeCells count="3">
    <mergeCell ref="B3:H3"/>
    <mergeCell ref="C8:H8"/>
    <mergeCell ref="B2:H2"/>
  </mergeCells>
  <phoneticPr fontId="33" type="noConversion"/>
  <pageMargins left="0.7086111307144165" right="0.51138889789581299" top="0.74750000238418579" bottom="0.74750000238418579" header="0.31486111879348755" footer="0.3148611187934875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7">
    <tabColor rgb="FF315F97"/>
  </sheetPr>
  <dimension ref="A1:Y33"/>
  <sheetViews>
    <sheetView showGridLines="0" view="pageBreakPreview" zoomScale="90" zoomScaleNormal="100" zoomScaleSheetLayoutView="90" workbookViewId="0">
      <selection activeCell="E24" sqref="E24"/>
    </sheetView>
  </sheetViews>
  <sheetFormatPr defaultColWidth="8.88671875" defaultRowHeight="13.5"/>
  <cols>
    <col min="1" max="12" width="8.77734375" style="50" customWidth="1"/>
    <col min="13" max="25" width="8.77734375" style="49" customWidth="1"/>
    <col min="26" max="16384" width="8.88671875" style="50"/>
  </cols>
  <sheetData>
    <row r="1" spans="1:25" ht="20.100000000000001" customHeight="1">
      <c r="A1" s="112" t="s">
        <v>163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3" t="s">
        <v>19</v>
      </c>
    </row>
    <row r="2" spans="1:25" ht="20.100000000000001" customHeight="1">
      <c r="A2" s="111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</row>
    <row r="3" spans="1:25" s="73" customFormat="1" ht="25.5" customHeight="1">
      <c r="A3" s="235" t="s">
        <v>152</v>
      </c>
      <c r="B3" s="235"/>
      <c r="C3" s="235"/>
      <c r="D3" s="235"/>
      <c r="E3" s="235"/>
      <c r="F3" s="235"/>
      <c r="G3" s="235"/>
      <c r="H3" s="235"/>
      <c r="I3" s="235"/>
      <c r="J3" s="235"/>
      <c r="K3" s="235"/>
      <c r="L3" s="235"/>
      <c r="M3" s="235"/>
      <c r="N3" s="139"/>
      <c r="O3" s="235" t="s">
        <v>245</v>
      </c>
      <c r="P3" s="235"/>
      <c r="Q3" s="235"/>
      <c r="R3" s="235"/>
      <c r="S3" s="235"/>
      <c r="T3" s="235"/>
      <c r="U3" s="235"/>
      <c r="V3" s="235"/>
      <c r="W3" s="235"/>
      <c r="X3" s="235"/>
      <c r="Y3" s="235"/>
    </row>
    <row r="4" spans="1:25" s="73" customFormat="1" ht="20.100000000000001" customHeight="1">
      <c r="A4" s="126"/>
      <c r="B4" s="126"/>
      <c r="C4" s="126"/>
      <c r="D4" s="126"/>
      <c r="E4" s="132"/>
      <c r="F4" s="126"/>
      <c r="G4" s="126"/>
      <c r="H4" s="126"/>
      <c r="I4" s="126"/>
      <c r="J4" s="126"/>
      <c r="K4" s="126"/>
      <c r="L4" s="126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</row>
    <row r="5" spans="1:25" s="64" customFormat="1" ht="20.100000000000001" customHeight="1">
      <c r="A5" s="119" t="s">
        <v>134</v>
      </c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119"/>
      <c r="V5" s="140"/>
      <c r="W5" s="119"/>
      <c r="X5" s="129"/>
      <c r="Y5" s="133" t="s">
        <v>47</v>
      </c>
    </row>
    <row r="6" spans="1:25" ht="20.100000000000001" customHeight="1">
      <c r="A6" s="236" t="s">
        <v>127</v>
      </c>
      <c r="B6" s="238" t="s">
        <v>203</v>
      </c>
      <c r="C6" s="238"/>
      <c r="D6" s="238"/>
      <c r="E6" s="239"/>
      <c r="F6" s="240" t="s">
        <v>131</v>
      </c>
      <c r="G6" s="238"/>
      <c r="H6" s="238"/>
      <c r="I6" s="239"/>
      <c r="J6" s="240" t="s">
        <v>200</v>
      </c>
      <c r="K6" s="238"/>
      <c r="L6" s="238"/>
      <c r="M6" s="238"/>
      <c r="N6" s="236" t="s">
        <v>127</v>
      </c>
      <c r="O6" s="241" t="s">
        <v>135</v>
      </c>
      <c r="P6" s="242"/>
      <c r="Q6" s="242"/>
      <c r="R6" s="242"/>
      <c r="S6" s="240" t="s">
        <v>132</v>
      </c>
      <c r="T6" s="238"/>
      <c r="U6" s="238"/>
      <c r="V6" s="239"/>
      <c r="W6" s="240" t="s">
        <v>58</v>
      </c>
      <c r="X6" s="238"/>
      <c r="Y6" s="238"/>
    </row>
    <row r="7" spans="1:25" ht="20.100000000000001" customHeight="1">
      <c r="A7" s="237"/>
      <c r="B7" s="242" t="s">
        <v>121</v>
      </c>
      <c r="C7" s="242"/>
      <c r="D7" s="242"/>
      <c r="E7" s="243"/>
      <c r="F7" s="241" t="s">
        <v>160</v>
      </c>
      <c r="G7" s="242"/>
      <c r="H7" s="242"/>
      <c r="I7" s="243"/>
      <c r="J7" s="241" t="s">
        <v>119</v>
      </c>
      <c r="K7" s="242"/>
      <c r="L7" s="242"/>
      <c r="M7" s="242"/>
      <c r="N7" s="237"/>
      <c r="O7" s="244" t="s">
        <v>186</v>
      </c>
      <c r="P7" s="245"/>
      <c r="Q7" s="245"/>
      <c r="R7" s="245"/>
      <c r="S7" s="242" t="s">
        <v>157</v>
      </c>
      <c r="T7" s="242"/>
      <c r="U7" s="242"/>
      <c r="V7" s="242"/>
      <c r="W7" s="241" t="s">
        <v>153</v>
      </c>
      <c r="X7" s="242"/>
      <c r="Y7" s="242"/>
    </row>
    <row r="8" spans="1:25" ht="20.100000000000001" customHeight="1">
      <c r="A8" s="138"/>
      <c r="B8" s="122"/>
      <c r="C8" s="141" t="s">
        <v>230</v>
      </c>
      <c r="D8" s="125" t="s">
        <v>216</v>
      </c>
      <c r="E8" s="136" t="s">
        <v>218</v>
      </c>
      <c r="F8" s="123"/>
      <c r="G8" s="141" t="s">
        <v>230</v>
      </c>
      <c r="H8" s="125" t="s">
        <v>216</v>
      </c>
      <c r="I8" s="136" t="s">
        <v>218</v>
      </c>
      <c r="J8" s="123"/>
      <c r="K8" s="141" t="s">
        <v>230</v>
      </c>
      <c r="L8" s="125" t="s">
        <v>216</v>
      </c>
      <c r="M8" s="125" t="s">
        <v>218</v>
      </c>
      <c r="N8" s="138"/>
      <c r="O8" s="131"/>
      <c r="P8" s="121" t="s">
        <v>230</v>
      </c>
      <c r="Q8" s="131" t="s">
        <v>216</v>
      </c>
      <c r="R8" s="125" t="s">
        <v>218</v>
      </c>
      <c r="S8" s="122"/>
      <c r="T8" s="141" t="s">
        <v>230</v>
      </c>
      <c r="U8" s="125" t="s">
        <v>216</v>
      </c>
      <c r="V8" s="136" t="s">
        <v>218</v>
      </c>
      <c r="W8" s="131"/>
      <c r="X8" s="141" t="s">
        <v>230</v>
      </c>
      <c r="Y8" s="141" t="s">
        <v>216</v>
      </c>
    </row>
    <row r="9" spans="1:25" s="55" customFormat="1" ht="20.100000000000001" customHeight="1">
      <c r="A9" s="246" t="s">
        <v>199</v>
      </c>
      <c r="B9" s="135"/>
      <c r="C9" s="130" t="s">
        <v>128</v>
      </c>
      <c r="D9" s="250" t="s">
        <v>140</v>
      </c>
      <c r="E9" s="135" t="s">
        <v>197</v>
      </c>
      <c r="F9" s="130"/>
      <c r="G9" s="130" t="s">
        <v>128</v>
      </c>
      <c r="H9" s="250" t="s">
        <v>140</v>
      </c>
      <c r="I9" s="135" t="s">
        <v>197</v>
      </c>
      <c r="J9" s="130"/>
      <c r="K9" s="130" t="s">
        <v>128</v>
      </c>
      <c r="L9" s="250" t="s">
        <v>140</v>
      </c>
      <c r="M9" s="115" t="s">
        <v>197</v>
      </c>
      <c r="N9" s="246" t="s">
        <v>199</v>
      </c>
      <c r="O9" s="134"/>
      <c r="P9" s="115" t="s">
        <v>128</v>
      </c>
      <c r="Q9" s="250" t="s">
        <v>140</v>
      </c>
      <c r="R9" s="115" t="s">
        <v>197</v>
      </c>
      <c r="S9" s="135"/>
      <c r="T9" s="130" t="s">
        <v>128</v>
      </c>
      <c r="U9" s="250" t="s">
        <v>140</v>
      </c>
      <c r="V9" s="135" t="s">
        <v>197</v>
      </c>
      <c r="W9" s="130"/>
      <c r="X9" s="130" t="s">
        <v>128</v>
      </c>
      <c r="Y9" s="248" t="s">
        <v>140</v>
      </c>
    </row>
    <row r="10" spans="1:25" s="55" customFormat="1" ht="20.100000000000001" customHeight="1">
      <c r="A10" s="247"/>
      <c r="B10" s="137"/>
      <c r="C10" s="117" t="s">
        <v>139</v>
      </c>
      <c r="D10" s="251"/>
      <c r="E10" s="137" t="s">
        <v>180</v>
      </c>
      <c r="F10" s="117"/>
      <c r="G10" s="117" t="s">
        <v>139</v>
      </c>
      <c r="H10" s="251"/>
      <c r="I10" s="137" t="s">
        <v>180</v>
      </c>
      <c r="J10" s="117"/>
      <c r="K10" s="117" t="s">
        <v>139</v>
      </c>
      <c r="L10" s="251"/>
      <c r="M10" s="137" t="s">
        <v>180</v>
      </c>
      <c r="N10" s="247"/>
      <c r="O10" s="116"/>
      <c r="P10" s="116" t="s">
        <v>139</v>
      </c>
      <c r="Q10" s="251"/>
      <c r="R10" s="116" t="s">
        <v>180</v>
      </c>
      <c r="S10" s="137"/>
      <c r="T10" s="117" t="s">
        <v>139</v>
      </c>
      <c r="U10" s="251"/>
      <c r="V10" s="137" t="s">
        <v>180</v>
      </c>
      <c r="W10" s="117"/>
      <c r="X10" s="117" t="s">
        <v>139</v>
      </c>
      <c r="Y10" s="249"/>
    </row>
    <row r="11" spans="1:25" ht="20.100000000000001" customHeight="1">
      <c r="A11" s="124"/>
      <c r="B11" s="111"/>
      <c r="C11" s="111"/>
      <c r="D11" s="111"/>
      <c r="E11" s="111"/>
      <c r="F11" s="111"/>
      <c r="G11" s="111"/>
      <c r="H11" s="111"/>
      <c r="I11" s="111"/>
      <c r="J11" s="111"/>
      <c r="K11" s="111"/>
      <c r="L11" s="111"/>
      <c r="M11" s="111"/>
      <c r="N11" s="124"/>
      <c r="O11" s="111"/>
      <c r="P11" s="111"/>
      <c r="Q11" s="111"/>
      <c r="R11" s="111"/>
      <c r="S11" s="111"/>
      <c r="T11" s="111"/>
      <c r="U11" s="111"/>
      <c r="V11" s="111"/>
      <c r="W11" s="111"/>
      <c r="X11" s="111"/>
      <c r="Y11" s="111"/>
    </row>
    <row r="12" spans="1:25" s="205" customFormat="1" ht="20.100000000000001" customHeight="1">
      <c r="A12" s="202">
        <v>2019</v>
      </c>
      <c r="B12" s="203">
        <v>15160</v>
      </c>
      <c r="C12" s="203">
        <v>151</v>
      </c>
      <c r="D12" s="203">
        <v>14293</v>
      </c>
      <c r="E12" s="203">
        <v>716</v>
      </c>
      <c r="F12" s="203">
        <v>9362</v>
      </c>
      <c r="G12" s="204">
        <v>58</v>
      </c>
      <c r="H12" s="204">
        <v>9100</v>
      </c>
      <c r="I12" s="204">
        <v>204</v>
      </c>
      <c r="J12" s="203">
        <v>584</v>
      </c>
      <c r="K12" s="204">
        <v>34</v>
      </c>
      <c r="L12" s="204">
        <v>478</v>
      </c>
      <c r="M12" s="204">
        <v>72</v>
      </c>
      <c r="N12" s="202">
        <v>2019</v>
      </c>
      <c r="O12" s="203">
        <v>5127</v>
      </c>
      <c r="P12" s="204">
        <v>59</v>
      </c>
      <c r="Q12" s="204">
        <v>4681</v>
      </c>
      <c r="R12" s="204">
        <v>387</v>
      </c>
      <c r="S12" s="203">
        <v>87</v>
      </c>
      <c r="T12" s="204">
        <v>0</v>
      </c>
      <c r="U12" s="204">
        <v>34</v>
      </c>
      <c r="V12" s="204">
        <v>53</v>
      </c>
      <c r="W12" s="203">
        <v>3126</v>
      </c>
      <c r="X12" s="204">
        <v>75</v>
      </c>
      <c r="Y12" s="204">
        <v>3051</v>
      </c>
    </row>
    <row r="13" spans="1:25" s="205" customFormat="1" ht="20.100000000000001" customHeight="1">
      <c r="A13" s="202">
        <v>2020</v>
      </c>
      <c r="B13" s="203">
        <v>15537</v>
      </c>
      <c r="C13" s="203">
        <v>155</v>
      </c>
      <c r="D13" s="203">
        <v>14654</v>
      </c>
      <c r="E13" s="203">
        <v>728</v>
      </c>
      <c r="F13" s="203">
        <v>9666</v>
      </c>
      <c r="G13" s="204">
        <v>9666</v>
      </c>
      <c r="H13" s="204">
        <v>9416</v>
      </c>
      <c r="I13" s="204">
        <v>190</v>
      </c>
      <c r="J13" s="203">
        <v>563</v>
      </c>
      <c r="K13" s="204">
        <v>35</v>
      </c>
      <c r="L13" s="204">
        <v>456</v>
      </c>
      <c r="M13" s="204">
        <v>72</v>
      </c>
      <c r="N13" s="202">
        <v>2020</v>
      </c>
      <c r="O13" s="203">
        <v>5207</v>
      </c>
      <c r="P13" s="204">
        <v>60</v>
      </c>
      <c r="Q13" s="204">
        <v>4743</v>
      </c>
      <c r="R13" s="204">
        <v>404</v>
      </c>
      <c r="S13" s="203">
        <v>101</v>
      </c>
      <c r="T13" s="204">
        <v>0</v>
      </c>
      <c r="U13" s="204">
        <v>39</v>
      </c>
      <c r="V13" s="204">
        <v>62</v>
      </c>
      <c r="W13" s="203">
        <v>3046</v>
      </c>
      <c r="X13" s="204">
        <v>70</v>
      </c>
      <c r="Y13" s="204">
        <v>2976</v>
      </c>
    </row>
    <row r="14" spans="1:25" s="206" customFormat="1" ht="20.100000000000001" customHeight="1">
      <c r="A14" s="202">
        <v>2021</v>
      </c>
      <c r="B14" s="207">
        <v>15887</v>
      </c>
      <c r="C14" s="207">
        <v>161</v>
      </c>
      <c r="D14" s="207">
        <v>15011</v>
      </c>
      <c r="E14" s="207">
        <v>715</v>
      </c>
      <c r="F14" s="207">
        <v>9924</v>
      </c>
      <c r="G14" s="208">
        <v>61</v>
      </c>
      <c r="H14" s="208">
        <v>9710</v>
      </c>
      <c r="I14" s="208">
        <v>153</v>
      </c>
      <c r="J14" s="207">
        <v>543</v>
      </c>
      <c r="K14" s="208">
        <v>35</v>
      </c>
      <c r="L14" s="208">
        <v>440</v>
      </c>
      <c r="M14" s="208">
        <v>68</v>
      </c>
      <c r="N14" s="202">
        <v>2021</v>
      </c>
      <c r="O14" s="207">
        <v>5313</v>
      </c>
      <c r="P14" s="208">
        <v>65</v>
      </c>
      <c r="Q14" s="208">
        <v>4814</v>
      </c>
      <c r="R14" s="208">
        <v>434</v>
      </c>
      <c r="S14" s="207">
        <v>107</v>
      </c>
      <c r="T14" s="208">
        <v>0</v>
      </c>
      <c r="U14" s="208">
        <v>47</v>
      </c>
      <c r="V14" s="208">
        <v>60</v>
      </c>
      <c r="W14" s="207">
        <v>3090</v>
      </c>
      <c r="X14" s="208">
        <v>59</v>
      </c>
      <c r="Y14" s="208">
        <v>3031</v>
      </c>
    </row>
    <row r="15" spans="1:25" s="205" customFormat="1" ht="20.100000000000001" customHeight="1">
      <c r="A15" s="202">
        <v>2022</v>
      </c>
      <c r="B15" s="207">
        <v>16199</v>
      </c>
      <c r="C15" s="207">
        <v>165</v>
      </c>
      <c r="D15" s="207">
        <v>15363</v>
      </c>
      <c r="E15" s="207">
        <v>671</v>
      </c>
      <c r="F15" s="207">
        <v>10178</v>
      </c>
      <c r="G15" s="208">
        <v>64</v>
      </c>
      <c r="H15" s="208">
        <v>9979</v>
      </c>
      <c r="I15" s="208">
        <v>135</v>
      </c>
      <c r="J15" s="207">
        <v>538</v>
      </c>
      <c r="K15" s="208">
        <v>37</v>
      </c>
      <c r="L15" s="208">
        <v>434</v>
      </c>
      <c r="M15" s="208">
        <v>67</v>
      </c>
      <c r="N15" s="202">
        <v>2022</v>
      </c>
      <c r="O15" s="207">
        <v>5374</v>
      </c>
      <c r="P15" s="208">
        <v>63</v>
      </c>
      <c r="Q15" s="208">
        <v>4906</v>
      </c>
      <c r="R15" s="208">
        <v>405</v>
      </c>
      <c r="S15" s="207">
        <v>109</v>
      </c>
      <c r="T15" s="208">
        <v>1</v>
      </c>
      <c r="U15" s="208">
        <v>44</v>
      </c>
      <c r="V15" s="208">
        <v>64</v>
      </c>
      <c r="W15" s="207">
        <v>3042</v>
      </c>
      <c r="X15" s="208">
        <v>59</v>
      </c>
      <c r="Y15" s="208">
        <v>2983</v>
      </c>
    </row>
    <row r="16" spans="1:25" s="206" customFormat="1" ht="20.100000000000001" customHeight="1">
      <c r="A16" s="209">
        <v>2023</v>
      </c>
      <c r="B16" s="142">
        <v>16681</v>
      </c>
      <c r="C16" s="142">
        <v>186</v>
      </c>
      <c r="D16" s="142">
        <v>15849</v>
      </c>
      <c r="E16" s="142">
        <v>646</v>
      </c>
      <c r="F16" s="142">
        <v>10546</v>
      </c>
      <c r="G16" s="143">
        <v>67</v>
      </c>
      <c r="H16" s="143">
        <v>10364</v>
      </c>
      <c r="I16" s="143">
        <v>115</v>
      </c>
      <c r="J16" s="142">
        <v>540</v>
      </c>
      <c r="K16" s="143">
        <v>41</v>
      </c>
      <c r="L16" s="143">
        <v>434</v>
      </c>
      <c r="M16" s="143">
        <v>65</v>
      </c>
      <c r="N16" s="209">
        <v>2023</v>
      </c>
      <c r="O16" s="142">
        <v>5472</v>
      </c>
      <c r="P16" s="143">
        <v>72</v>
      </c>
      <c r="Q16" s="143">
        <v>5002</v>
      </c>
      <c r="R16" s="143">
        <v>398</v>
      </c>
      <c r="S16" s="142">
        <v>123</v>
      </c>
      <c r="T16" s="143">
        <v>6</v>
      </c>
      <c r="U16" s="143">
        <v>49</v>
      </c>
      <c r="V16" s="143">
        <v>68</v>
      </c>
      <c r="W16" s="142">
        <v>2998</v>
      </c>
      <c r="X16" s="143">
        <v>60</v>
      </c>
      <c r="Y16" s="143">
        <v>2938</v>
      </c>
    </row>
    <row r="17" spans="1:25" s="211" customFormat="1" ht="20.100000000000001" customHeight="1">
      <c r="A17" s="210"/>
      <c r="B17" s="145"/>
      <c r="C17" s="145"/>
      <c r="D17" s="145"/>
      <c r="E17" s="145"/>
      <c r="F17" s="145"/>
      <c r="G17" s="146"/>
      <c r="H17" s="146"/>
      <c r="I17" s="146"/>
      <c r="J17" s="145"/>
      <c r="K17" s="146"/>
      <c r="L17" s="146"/>
      <c r="M17" s="146"/>
      <c r="N17" s="210"/>
      <c r="O17" s="145"/>
      <c r="P17" s="146"/>
      <c r="Q17" s="146"/>
      <c r="R17" s="146"/>
      <c r="S17" s="145"/>
      <c r="T17" s="146"/>
      <c r="U17" s="146"/>
      <c r="V17" s="146"/>
      <c r="W17" s="145"/>
      <c r="X17" s="146"/>
      <c r="Y17" s="146"/>
    </row>
    <row r="18" spans="1:25" s="205" customFormat="1" ht="20.100000000000001" customHeight="1">
      <c r="A18" s="202" t="s">
        <v>184</v>
      </c>
      <c r="B18" s="148">
        <v>16282</v>
      </c>
      <c r="C18" s="148">
        <v>167</v>
      </c>
      <c r="D18" s="148">
        <v>15448</v>
      </c>
      <c r="E18" s="148">
        <v>667</v>
      </c>
      <c r="F18" s="148">
        <v>10240</v>
      </c>
      <c r="G18" s="148">
        <v>63</v>
      </c>
      <c r="H18" s="149">
        <v>10044</v>
      </c>
      <c r="I18" s="149">
        <v>133</v>
      </c>
      <c r="J18" s="148">
        <v>542</v>
      </c>
      <c r="K18" s="149">
        <v>39</v>
      </c>
      <c r="L18" s="149">
        <v>437</v>
      </c>
      <c r="M18" s="149">
        <v>66</v>
      </c>
      <c r="N18" s="202" t="s">
        <v>184</v>
      </c>
      <c r="O18" s="145">
        <v>5391</v>
      </c>
      <c r="P18" s="147">
        <v>64</v>
      </c>
      <c r="Q18" s="147">
        <v>4924</v>
      </c>
      <c r="R18" s="147">
        <v>403</v>
      </c>
      <c r="S18" s="145">
        <v>109</v>
      </c>
      <c r="T18" s="147">
        <v>1</v>
      </c>
      <c r="U18" s="147">
        <v>43</v>
      </c>
      <c r="V18" s="147">
        <v>65</v>
      </c>
      <c r="W18" s="145">
        <v>3015</v>
      </c>
      <c r="X18" s="147">
        <v>59</v>
      </c>
      <c r="Y18" s="145">
        <v>2986</v>
      </c>
    </row>
    <row r="19" spans="1:25" s="205" customFormat="1" ht="20.100000000000001" customHeight="1">
      <c r="A19" s="202" t="s">
        <v>183</v>
      </c>
      <c r="B19" s="148">
        <v>16318</v>
      </c>
      <c r="C19" s="148">
        <v>167</v>
      </c>
      <c r="D19" s="148">
        <v>15487</v>
      </c>
      <c r="E19" s="148">
        <v>664</v>
      </c>
      <c r="F19" s="148">
        <v>10253</v>
      </c>
      <c r="G19" s="149">
        <v>62</v>
      </c>
      <c r="H19" s="149">
        <v>10058</v>
      </c>
      <c r="I19" s="149">
        <v>132</v>
      </c>
      <c r="J19" s="148">
        <v>541</v>
      </c>
      <c r="K19" s="149">
        <v>39</v>
      </c>
      <c r="L19" s="149">
        <v>436</v>
      </c>
      <c r="M19" s="149">
        <v>66</v>
      </c>
      <c r="N19" s="202" t="s">
        <v>183</v>
      </c>
      <c r="O19" s="145">
        <v>5414</v>
      </c>
      <c r="P19" s="147">
        <v>64</v>
      </c>
      <c r="Q19" s="147">
        <v>4949</v>
      </c>
      <c r="R19" s="147">
        <v>401</v>
      </c>
      <c r="S19" s="145">
        <v>110</v>
      </c>
      <c r="T19" s="147">
        <v>1</v>
      </c>
      <c r="U19" s="147">
        <v>44</v>
      </c>
      <c r="V19" s="147">
        <v>65</v>
      </c>
      <c r="W19" s="145">
        <v>3049</v>
      </c>
      <c r="X19" s="147">
        <v>59</v>
      </c>
      <c r="Y19" s="147">
        <v>2990</v>
      </c>
    </row>
    <row r="20" spans="1:25" s="205" customFormat="1" ht="20.100000000000001" customHeight="1">
      <c r="A20" s="202" t="s">
        <v>193</v>
      </c>
      <c r="B20" s="148">
        <v>16422</v>
      </c>
      <c r="C20" s="148">
        <v>166</v>
      </c>
      <c r="D20" s="148">
        <v>15592</v>
      </c>
      <c r="E20" s="148">
        <v>664</v>
      </c>
      <c r="F20" s="148">
        <v>10322</v>
      </c>
      <c r="G20" s="149">
        <v>61</v>
      </c>
      <c r="H20" s="149">
        <v>10129</v>
      </c>
      <c r="I20" s="149">
        <v>132</v>
      </c>
      <c r="J20" s="148">
        <v>546</v>
      </c>
      <c r="K20" s="149">
        <v>39</v>
      </c>
      <c r="L20" s="149">
        <v>441</v>
      </c>
      <c r="M20" s="149">
        <v>66</v>
      </c>
      <c r="N20" s="202" t="s">
        <v>193</v>
      </c>
      <c r="O20" s="145">
        <v>5445</v>
      </c>
      <c r="P20" s="147">
        <v>65</v>
      </c>
      <c r="Q20" s="147">
        <v>4979</v>
      </c>
      <c r="R20" s="147">
        <v>401</v>
      </c>
      <c r="S20" s="145">
        <v>109</v>
      </c>
      <c r="T20" s="147">
        <v>1</v>
      </c>
      <c r="U20" s="147">
        <v>43</v>
      </c>
      <c r="V20" s="147">
        <v>65</v>
      </c>
      <c r="W20" s="145">
        <v>3042</v>
      </c>
      <c r="X20" s="147">
        <v>59</v>
      </c>
      <c r="Y20" s="147">
        <v>2983</v>
      </c>
    </row>
    <row r="21" spans="1:25" s="205" customFormat="1" ht="20.100000000000001" customHeight="1">
      <c r="A21" s="202" t="s">
        <v>187</v>
      </c>
      <c r="B21" s="148">
        <v>16438</v>
      </c>
      <c r="C21" s="148">
        <v>164</v>
      </c>
      <c r="D21" s="148">
        <v>15611</v>
      </c>
      <c r="E21" s="148">
        <v>663</v>
      </c>
      <c r="F21" s="148">
        <v>10349</v>
      </c>
      <c r="G21" s="149">
        <v>61</v>
      </c>
      <c r="H21" s="149">
        <v>10160</v>
      </c>
      <c r="I21" s="149">
        <v>128</v>
      </c>
      <c r="J21" s="148">
        <v>546</v>
      </c>
      <c r="K21" s="149">
        <v>38</v>
      </c>
      <c r="L21" s="149">
        <v>441</v>
      </c>
      <c r="M21" s="149">
        <v>67</v>
      </c>
      <c r="N21" s="202" t="s">
        <v>187</v>
      </c>
      <c r="O21" s="145">
        <v>5433</v>
      </c>
      <c r="P21" s="147">
        <v>64</v>
      </c>
      <c r="Q21" s="147">
        <v>4966</v>
      </c>
      <c r="R21" s="147">
        <v>403</v>
      </c>
      <c r="S21" s="145">
        <v>110</v>
      </c>
      <c r="T21" s="147">
        <v>1</v>
      </c>
      <c r="U21" s="147">
        <v>44</v>
      </c>
      <c r="V21" s="147">
        <v>65</v>
      </c>
      <c r="W21" s="145">
        <v>3034</v>
      </c>
      <c r="X21" s="147">
        <v>59</v>
      </c>
      <c r="Y21" s="147">
        <v>2975</v>
      </c>
    </row>
    <row r="22" spans="1:25" s="205" customFormat="1" ht="20.100000000000001" customHeight="1">
      <c r="A22" s="202" t="s">
        <v>201</v>
      </c>
      <c r="B22" s="148">
        <v>16483</v>
      </c>
      <c r="C22" s="148">
        <v>170</v>
      </c>
      <c r="D22" s="148">
        <v>15656</v>
      </c>
      <c r="E22" s="148">
        <v>657</v>
      </c>
      <c r="F22" s="148">
        <v>10384</v>
      </c>
      <c r="G22" s="149">
        <v>64</v>
      </c>
      <c r="H22" s="149">
        <v>10195</v>
      </c>
      <c r="I22" s="149">
        <v>125</v>
      </c>
      <c r="J22" s="148">
        <v>547</v>
      </c>
      <c r="K22" s="149">
        <v>40</v>
      </c>
      <c r="L22" s="149">
        <v>440</v>
      </c>
      <c r="M22" s="149">
        <v>67</v>
      </c>
      <c r="N22" s="202" t="s">
        <v>201</v>
      </c>
      <c r="O22" s="145">
        <v>5442</v>
      </c>
      <c r="P22" s="147">
        <v>65</v>
      </c>
      <c r="Q22" s="147">
        <v>4976</v>
      </c>
      <c r="R22" s="147">
        <v>401</v>
      </c>
      <c r="S22" s="145">
        <v>110</v>
      </c>
      <c r="T22" s="147">
        <v>1</v>
      </c>
      <c r="U22" s="147">
        <v>45</v>
      </c>
      <c r="V22" s="147">
        <v>64</v>
      </c>
      <c r="W22" s="145">
        <v>3022</v>
      </c>
      <c r="X22" s="147">
        <v>59</v>
      </c>
      <c r="Y22" s="147">
        <v>2963</v>
      </c>
    </row>
    <row r="23" spans="1:25" s="205" customFormat="1" ht="20.100000000000001" customHeight="1">
      <c r="A23" s="202" t="s">
        <v>190</v>
      </c>
      <c r="B23" s="148">
        <v>16546</v>
      </c>
      <c r="C23" s="148">
        <v>171</v>
      </c>
      <c r="D23" s="148">
        <v>15726</v>
      </c>
      <c r="E23" s="148">
        <v>649</v>
      </c>
      <c r="F23" s="148">
        <v>10427</v>
      </c>
      <c r="G23" s="149">
        <v>65</v>
      </c>
      <c r="H23" s="149">
        <v>10240</v>
      </c>
      <c r="I23" s="149">
        <v>122</v>
      </c>
      <c r="J23" s="148">
        <v>541</v>
      </c>
      <c r="K23" s="149">
        <v>39</v>
      </c>
      <c r="L23" s="149">
        <v>436</v>
      </c>
      <c r="M23" s="149">
        <v>66</v>
      </c>
      <c r="N23" s="202" t="s">
        <v>190</v>
      </c>
      <c r="O23" s="145">
        <v>5468</v>
      </c>
      <c r="P23" s="147">
        <v>65</v>
      </c>
      <c r="Q23" s="147">
        <v>5006</v>
      </c>
      <c r="R23" s="147">
        <v>397</v>
      </c>
      <c r="S23" s="145">
        <v>110</v>
      </c>
      <c r="T23" s="147">
        <v>2</v>
      </c>
      <c r="U23" s="147">
        <v>44</v>
      </c>
      <c r="V23" s="147">
        <v>64</v>
      </c>
      <c r="W23" s="145">
        <v>3020</v>
      </c>
      <c r="X23" s="147">
        <v>59</v>
      </c>
      <c r="Y23" s="147">
        <v>2961</v>
      </c>
    </row>
    <row r="24" spans="1:25" s="205" customFormat="1" ht="20.100000000000001" customHeight="1">
      <c r="A24" s="202" t="s">
        <v>189</v>
      </c>
      <c r="B24" s="148">
        <v>16558</v>
      </c>
      <c r="C24" s="148">
        <v>171</v>
      </c>
      <c r="D24" s="148">
        <v>15738</v>
      </c>
      <c r="E24" s="148">
        <v>649</v>
      </c>
      <c r="F24" s="148">
        <v>10445</v>
      </c>
      <c r="G24" s="149">
        <v>66</v>
      </c>
      <c r="H24" s="149">
        <v>10265</v>
      </c>
      <c r="I24" s="149">
        <v>114</v>
      </c>
      <c r="J24" s="148">
        <v>541</v>
      </c>
      <c r="K24" s="149">
        <v>39</v>
      </c>
      <c r="L24" s="149">
        <v>436</v>
      </c>
      <c r="M24" s="149">
        <v>66</v>
      </c>
      <c r="N24" s="202" t="s">
        <v>189</v>
      </c>
      <c r="O24" s="145">
        <v>5459</v>
      </c>
      <c r="P24" s="147">
        <v>64</v>
      </c>
      <c r="Q24" s="147">
        <v>4994</v>
      </c>
      <c r="R24" s="147">
        <v>401</v>
      </c>
      <c r="S24" s="145">
        <v>113</v>
      </c>
      <c r="T24" s="147">
        <v>2</v>
      </c>
      <c r="U24" s="147">
        <v>43</v>
      </c>
      <c r="V24" s="147">
        <v>68</v>
      </c>
      <c r="W24" s="145">
        <v>3022</v>
      </c>
      <c r="X24" s="147">
        <v>59</v>
      </c>
      <c r="Y24" s="147">
        <v>2963</v>
      </c>
    </row>
    <row r="25" spans="1:25" s="205" customFormat="1" ht="20.100000000000001" customHeight="1">
      <c r="A25" s="202" t="s">
        <v>192</v>
      </c>
      <c r="B25" s="148">
        <v>16554</v>
      </c>
      <c r="C25" s="148">
        <v>186</v>
      </c>
      <c r="D25" s="148">
        <v>15726</v>
      </c>
      <c r="E25" s="148">
        <v>642</v>
      </c>
      <c r="F25" s="148">
        <v>10449</v>
      </c>
      <c r="G25" s="149">
        <v>68</v>
      </c>
      <c r="H25" s="149">
        <v>10271</v>
      </c>
      <c r="I25" s="149">
        <v>110</v>
      </c>
      <c r="J25" s="148">
        <v>541</v>
      </c>
      <c r="K25" s="149">
        <v>42</v>
      </c>
      <c r="L25" s="149">
        <v>433</v>
      </c>
      <c r="M25" s="149">
        <v>66</v>
      </c>
      <c r="N25" s="202" t="s">
        <v>192</v>
      </c>
      <c r="O25" s="145">
        <v>5447</v>
      </c>
      <c r="P25" s="147">
        <v>70</v>
      </c>
      <c r="Q25" s="147">
        <v>4979</v>
      </c>
      <c r="R25" s="147">
        <v>398</v>
      </c>
      <c r="S25" s="145">
        <v>117</v>
      </c>
      <c r="T25" s="147">
        <v>6</v>
      </c>
      <c r="U25" s="147">
        <v>43</v>
      </c>
      <c r="V25" s="147">
        <v>68</v>
      </c>
      <c r="W25" s="145">
        <v>3019</v>
      </c>
      <c r="X25" s="147">
        <v>59</v>
      </c>
      <c r="Y25" s="147">
        <v>2960</v>
      </c>
    </row>
    <row r="26" spans="1:25" s="205" customFormat="1" ht="20.100000000000001" customHeight="1">
      <c r="A26" s="202" t="s">
        <v>178</v>
      </c>
      <c r="B26" s="148">
        <v>16601</v>
      </c>
      <c r="C26" s="148">
        <v>190</v>
      </c>
      <c r="D26" s="148">
        <v>15770</v>
      </c>
      <c r="E26" s="148">
        <v>641</v>
      </c>
      <c r="F26" s="148">
        <v>10486</v>
      </c>
      <c r="G26" s="149">
        <v>69</v>
      </c>
      <c r="H26" s="149">
        <v>10307</v>
      </c>
      <c r="I26" s="149">
        <v>110</v>
      </c>
      <c r="J26" s="148">
        <v>546</v>
      </c>
      <c r="K26" s="149">
        <v>44</v>
      </c>
      <c r="L26" s="149">
        <v>437</v>
      </c>
      <c r="M26" s="149">
        <v>65</v>
      </c>
      <c r="N26" s="202" t="s">
        <v>178</v>
      </c>
      <c r="O26" s="145">
        <v>5448</v>
      </c>
      <c r="P26" s="147">
        <v>71</v>
      </c>
      <c r="Q26" s="147">
        <v>4979</v>
      </c>
      <c r="R26" s="147">
        <v>398</v>
      </c>
      <c r="S26" s="145">
        <v>121</v>
      </c>
      <c r="T26" s="147">
        <v>6</v>
      </c>
      <c r="U26" s="147">
        <v>47</v>
      </c>
      <c r="V26" s="147">
        <v>68</v>
      </c>
      <c r="W26" s="145">
        <v>3014</v>
      </c>
      <c r="X26" s="147">
        <v>60</v>
      </c>
      <c r="Y26" s="147">
        <v>2954</v>
      </c>
    </row>
    <row r="27" spans="1:25" s="205" customFormat="1" ht="20.100000000000001" customHeight="1">
      <c r="A27" s="202" t="s">
        <v>195</v>
      </c>
      <c r="B27" s="148">
        <v>16595</v>
      </c>
      <c r="C27" s="148">
        <v>190</v>
      </c>
      <c r="D27" s="148">
        <v>15767</v>
      </c>
      <c r="E27" s="148">
        <v>638</v>
      </c>
      <c r="F27" s="148">
        <v>10472</v>
      </c>
      <c r="G27" s="149">
        <v>70</v>
      </c>
      <c r="H27" s="149">
        <v>10294</v>
      </c>
      <c r="I27" s="149">
        <v>108</v>
      </c>
      <c r="J27" s="148">
        <v>540</v>
      </c>
      <c r="K27" s="149">
        <v>43</v>
      </c>
      <c r="L27" s="149">
        <v>433</v>
      </c>
      <c r="M27" s="149">
        <v>64</v>
      </c>
      <c r="N27" s="202" t="s">
        <v>195</v>
      </c>
      <c r="O27" s="145">
        <v>5462</v>
      </c>
      <c r="P27" s="147">
        <v>71</v>
      </c>
      <c r="Q27" s="147">
        <v>4993</v>
      </c>
      <c r="R27" s="147">
        <v>398</v>
      </c>
      <c r="S27" s="145">
        <v>121</v>
      </c>
      <c r="T27" s="147">
        <v>6</v>
      </c>
      <c r="U27" s="147">
        <v>47</v>
      </c>
      <c r="V27" s="147">
        <v>68</v>
      </c>
      <c r="W27" s="145">
        <v>3007</v>
      </c>
      <c r="X27" s="147">
        <v>60</v>
      </c>
      <c r="Y27" s="147">
        <v>2947</v>
      </c>
    </row>
    <row r="28" spans="1:25" s="205" customFormat="1" ht="20.100000000000001" customHeight="1">
      <c r="A28" s="202" t="s">
        <v>179</v>
      </c>
      <c r="B28" s="148">
        <v>16641</v>
      </c>
      <c r="C28" s="148">
        <v>188</v>
      </c>
      <c r="D28" s="148">
        <v>15815</v>
      </c>
      <c r="E28" s="148">
        <v>638</v>
      </c>
      <c r="F28" s="148">
        <v>10508</v>
      </c>
      <c r="G28" s="149">
        <v>68</v>
      </c>
      <c r="H28" s="149">
        <v>10334</v>
      </c>
      <c r="I28" s="149">
        <v>106</v>
      </c>
      <c r="J28" s="148">
        <v>537</v>
      </c>
      <c r="K28" s="149">
        <v>42</v>
      </c>
      <c r="L28" s="149">
        <v>431</v>
      </c>
      <c r="M28" s="149">
        <v>64</v>
      </c>
      <c r="N28" s="202" t="s">
        <v>179</v>
      </c>
      <c r="O28" s="145">
        <v>5474</v>
      </c>
      <c r="P28" s="147">
        <v>72</v>
      </c>
      <c r="Q28" s="147">
        <v>5002</v>
      </c>
      <c r="R28" s="147">
        <v>400</v>
      </c>
      <c r="S28" s="145">
        <v>122</v>
      </c>
      <c r="T28" s="147">
        <v>6</v>
      </c>
      <c r="U28" s="147">
        <v>48</v>
      </c>
      <c r="V28" s="147">
        <v>68</v>
      </c>
      <c r="W28" s="145">
        <v>2999</v>
      </c>
      <c r="X28" s="147">
        <v>60</v>
      </c>
      <c r="Y28" s="147">
        <v>2939</v>
      </c>
    </row>
    <row r="29" spans="1:25" s="205" customFormat="1" ht="20.100000000000001" customHeight="1">
      <c r="A29" s="202" t="s">
        <v>194</v>
      </c>
      <c r="B29" s="148">
        <v>16681</v>
      </c>
      <c r="C29" s="148">
        <v>186</v>
      </c>
      <c r="D29" s="148">
        <v>15849</v>
      </c>
      <c r="E29" s="148">
        <v>646</v>
      </c>
      <c r="F29" s="148">
        <v>10546</v>
      </c>
      <c r="G29" s="149">
        <v>67</v>
      </c>
      <c r="H29" s="149">
        <v>10364</v>
      </c>
      <c r="I29" s="149">
        <v>115</v>
      </c>
      <c r="J29" s="148">
        <v>540</v>
      </c>
      <c r="K29" s="149">
        <v>41</v>
      </c>
      <c r="L29" s="149">
        <v>434</v>
      </c>
      <c r="M29" s="149">
        <v>65</v>
      </c>
      <c r="N29" s="202" t="s">
        <v>194</v>
      </c>
      <c r="O29" s="145">
        <v>5472</v>
      </c>
      <c r="P29" s="149">
        <v>72</v>
      </c>
      <c r="Q29" s="149">
        <v>5002</v>
      </c>
      <c r="R29" s="149">
        <v>398</v>
      </c>
      <c r="S29" s="145">
        <v>123</v>
      </c>
      <c r="T29" s="149">
        <v>6</v>
      </c>
      <c r="U29" s="149">
        <v>49</v>
      </c>
      <c r="V29" s="149">
        <v>68</v>
      </c>
      <c r="W29" s="145">
        <v>2998</v>
      </c>
      <c r="X29" s="147">
        <v>60</v>
      </c>
      <c r="Y29" s="147">
        <v>2938</v>
      </c>
    </row>
    <row r="30" spans="1:25" ht="20.100000000000001" customHeight="1">
      <c r="A30" s="128"/>
      <c r="B30" s="118"/>
      <c r="C30" s="118"/>
      <c r="D30" s="118"/>
      <c r="E30" s="118"/>
      <c r="F30" s="118"/>
      <c r="G30" s="118"/>
      <c r="H30" s="118"/>
      <c r="I30" s="118"/>
      <c r="J30" s="118"/>
      <c r="K30" s="118"/>
      <c r="L30" s="118"/>
      <c r="M30" s="118"/>
      <c r="N30" s="12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</row>
    <row r="31" spans="1:25" ht="20.100000000000001" customHeight="1">
      <c r="A31" s="127" t="s">
        <v>9</v>
      </c>
      <c r="B31" s="114"/>
      <c r="C31" s="114"/>
      <c r="D31" s="114"/>
      <c r="E31" s="114"/>
      <c r="F31" s="114"/>
      <c r="G31" s="114"/>
      <c r="H31" s="114"/>
      <c r="I31" s="114"/>
      <c r="J31" s="114"/>
      <c r="K31" s="114"/>
      <c r="L31" s="114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</row>
    <row r="32" spans="1:25" s="64" customFormat="1" ht="20.100000000000001" customHeight="1">
      <c r="A32" s="120" t="s">
        <v>45</v>
      </c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</row>
    <row r="33" spans="13:25" s="64" customFormat="1" ht="15" customHeight="1">
      <c r="M33" s="127"/>
      <c r="N33" s="127"/>
      <c r="O33" s="127"/>
      <c r="P33" s="127"/>
      <c r="Q33" s="127"/>
      <c r="R33" s="127"/>
      <c r="S33" s="127"/>
      <c r="T33" s="120"/>
      <c r="U33" s="127"/>
      <c r="V33" s="127"/>
      <c r="W33" s="127"/>
      <c r="X33" s="127"/>
      <c r="Y33" s="127"/>
    </row>
  </sheetData>
  <mergeCells count="24">
    <mergeCell ref="N9:N10"/>
    <mergeCell ref="Y9:Y10"/>
    <mergeCell ref="A9:A10"/>
    <mergeCell ref="D9:D10"/>
    <mergeCell ref="H9:H10"/>
    <mergeCell ref="L9:L10"/>
    <mergeCell ref="Q9:Q10"/>
    <mergeCell ref="U9:U10"/>
    <mergeCell ref="A3:M3"/>
    <mergeCell ref="O3:Y3"/>
    <mergeCell ref="A6:A7"/>
    <mergeCell ref="B6:E6"/>
    <mergeCell ref="F6:I6"/>
    <mergeCell ref="J6:M6"/>
    <mergeCell ref="O6:R6"/>
    <mergeCell ref="S6:V6"/>
    <mergeCell ref="W6:Y6"/>
    <mergeCell ref="B7:E7"/>
    <mergeCell ref="F7:I7"/>
    <mergeCell ref="J7:M7"/>
    <mergeCell ref="O7:R7"/>
    <mergeCell ref="S7:V7"/>
    <mergeCell ref="W7:Y7"/>
    <mergeCell ref="N6:N7"/>
  </mergeCells>
  <phoneticPr fontId="33" type="noConversion"/>
  <pageMargins left="0.25" right="0.25" top="0.75" bottom="0.75" header="0.30000001192092896" footer="0.30000001192092896"/>
  <pageSetup paperSize="9" scale="75" fitToWidth="0" orientation="portrait" blackAndWhite="1" r:id="rId1"/>
  <colBreaks count="1" manualBreakCount="1">
    <brk id="13" max="16383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9">
    <tabColor rgb="FF315F97"/>
  </sheetPr>
  <dimension ref="A1:N31"/>
  <sheetViews>
    <sheetView showGridLines="0" view="pageBreakPreview" zoomScaleNormal="100" zoomScaleSheetLayoutView="100" workbookViewId="0">
      <selection activeCell="M15" sqref="M15"/>
    </sheetView>
  </sheetViews>
  <sheetFormatPr defaultColWidth="8.88671875" defaultRowHeight="13.5"/>
  <cols>
    <col min="1" max="4" width="10.77734375" style="50" customWidth="1"/>
    <col min="5" max="5" width="10.77734375" style="49" customWidth="1"/>
    <col min="6" max="9" width="10.77734375" style="50" customWidth="1"/>
    <col min="10" max="10" width="11.77734375" style="50" customWidth="1"/>
    <col min="11" max="11" width="9.109375" style="50" customWidth="1"/>
    <col min="12" max="12" width="11.77734375" style="50" customWidth="1"/>
    <col min="13" max="13" width="9.88671875" style="50" customWidth="1"/>
    <col min="14" max="14" width="11.88671875" style="50" customWidth="1"/>
    <col min="15" max="16384" width="8.88671875" style="50"/>
  </cols>
  <sheetData>
    <row r="1" spans="1:14" ht="20.100000000000001" customHeight="1">
      <c r="A1" s="47" t="s">
        <v>163</v>
      </c>
    </row>
    <row r="2" spans="1:14" ht="12.75" customHeight="1"/>
    <row r="3" spans="1:14" s="73" customFormat="1" ht="25.5" customHeight="1">
      <c r="A3" s="252" t="s">
        <v>15</v>
      </c>
      <c r="B3" s="252"/>
      <c r="C3" s="252"/>
      <c r="D3" s="252"/>
      <c r="E3" s="252"/>
      <c r="F3" s="252"/>
      <c r="G3" s="252"/>
      <c r="H3" s="252"/>
      <c r="I3" s="252"/>
      <c r="J3" s="96"/>
      <c r="K3" s="96"/>
      <c r="L3" s="96"/>
      <c r="M3" s="96"/>
      <c r="N3" s="96"/>
    </row>
    <row r="4" spans="1:14" s="73" customFormat="1" ht="25.5" customHeight="1">
      <c r="A4" s="253" t="s">
        <v>204</v>
      </c>
      <c r="B4" s="253"/>
      <c r="C4" s="253"/>
      <c r="D4" s="253"/>
      <c r="E4" s="253"/>
      <c r="F4" s="253"/>
      <c r="G4" s="253"/>
      <c r="H4" s="253"/>
      <c r="I4" s="253"/>
      <c r="J4" s="96"/>
      <c r="K4" s="96"/>
      <c r="L4" s="96"/>
      <c r="M4" s="96"/>
      <c r="N4" s="96"/>
    </row>
    <row r="5" spans="1:14" ht="18" customHeight="1">
      <c r="A5" s="63" t="s">
        <v>151</v>
      </c>
      <c r="B5" s="60"/>
      <c r="C5" s="60"/>
      <c r="D5" s="60"/>
      <c r="E5" s="60"/>
      <c r="F5" s="97"/>
      <c r="G5" s="60"/>
      <c r="H5" s="60"/>
      <c r="I5" s="82" t="s">
        <v>25</v>
      </c>
      <c r="J5" s="49"/>
      <c r="K5" s="49"/>
      <c r="L5" s="98" t="s">
        <v>59</v>
      </c>
      <c r="M5" s="99"/>
      <c r="N5" s="99"/>
    </row>
    <row r="6" spans="1:14" s="69" customFormat="1" ht="20.100000000000001" customHeight="1">
      <c r="A6" s="254" t="s">
        <v>129</v>
      </c>
      <c r="B6" s="263" t="s">
        <v>18</v>
      </c>
      <c r="C6" s="264"/>
      <c r="D6" s="264"/>
      <c r="E6" s="264"/>
      <c r="F6" s="264"/>
      <c r="G6" s="264"/>
      <c r="H6" s="264"/>
      <c r="I6" s="264"/>
      <c r="J6" s="72"/>
      <c r="K6" s="72"/>
      <c r="L6" s="72"/>
      <c r="M6" s="72"/>
      <c r="N6" s="72"/>
    </row>
    <row r="7" spans="1:14" s="69" customFormat="1" ht="20.100000000000001" customHeight="1">
      <c r="A7" s="259"/>
      <c r="B7" s="257" t="s">
        <v>6</v>
      </c>
      <c r="C7" s="258"/>
      <c r="D7" s="261" t="s">
        <v>75</v>
      </c>
      <c r="E7" s="262"/>
      <c r="F7" s="266" t="s">
        <v>79</v>
      </c>
      <c r="G7" s="262"/>
      <c r="H7" s="257" t="s">
        <v>147</v>
      </c>
      <c r="I7" s="258"/>
    </row>
    <row r="8" spans="1:14" s="69" customFormat="1" ht="20.100000000000001" customHeight="1">
      <c r="A8" s="259"/>
      <c r="B8" s="65" t="s">
        <v>143</v>
      </c>
      <c r="C8" s="65" t="s">
        <v>138</v>
      </c>
      <c r="D8" s="81" t="s">
        <v>143</v>
      </c>
      <c r="E8" s="70" t="s">
        <v>138</v>
      </c>
      <c r="F8" s="87" t="s">
        <v>143</v>
      </c>
      <c r="G8" s="87" t="s">
        <v>138</v>
      </c>
      <c r="H8" s="87" t="s">
        <v>143</v>
      </c>
      <c r="I8" s="87" t="s">
        <v>138</v>
      </c>
    </row>
    <row r="9" spans="1:14" s="69" customFormat="1" ht="27">
      <c r="A9" s="260"/>
      <c r="B9" s="89" t="s">
        <v>159</v>
      </c>
      <c r="C9" s="89" t="s">
        <v>78</v>
      </c>
      <c r="D9" s="100" t="s">
        <v>159</v>
      </c>
      <c r="E9" s="100" t="s">
        <v>78</v>
      </c>
      <c r="F9" s="101" t="s">
        <v>159</v>
      </c>
      <c r="G9" s="89" t="s">
        <v>78</v>
      </c>
      <c r="H9" s="89" t="s">
        <v>159</v>
      </c>
      <c r="I9" s="89" t="s">
        <v>78</v>
      </c>
    </row>
    <row r="10" spans="1:14" s="69" customFormat="1" ht="20.100000000000001" customHeight="1">
      <c r="A10" s="68"/>
      <c r="E10" s="72"/>
    </row>
    <row r="11" spans="1:14" s="215" customFormat="1" ht="20.100000000000001" customHeight="1">
      <c r="A11" s="320">
        <v>2019</v>
      </c>
      <c r="B11" s="212">
        <v>124</v>
      </c>
      <c r="C11" s="212" t="s">
        <v>226</v>
      </c>
      <c r="D11" s="213">
        <v>20</v>
      </c>
      <c r="E11" s="212" t="s">
        <v>226</v>
      </c>
      <c r="F11" s="212">
        <v>0</v>
      </c>
      <c r="G11" s="213">
        <v>0</v>
      </c>
      <c r="H11" s="214">
        <v>61</v>
      </c>
      <c r="I11" s="212" t="s">
        <v>226</v>
      </c>
    </row>
    <row r="12" spans="1:14" s="215" customFormat="1" ht="20.100000000000001" customHeight="1">
      <c r="A12" s="320">
        <v>2020</v>
      </c>
      <c r="B12" s="212">
        <v>122</v>
      </c>
      <c r="C12" s="212" t="s">
        <v>226</v>
      </c>
      <c r="D12" s="213">
        <v>20</v>
      </c>
      <c r="E12" s="212" t="s">
        <v>226</v>
      </c>
      <c r="F12" s="212">
        <v>0</v>
      </c>
      <c r="G12" s="213">
        <v>0</v>
      </c>
      <c r="H12" s="214">
        <v>60</v>
      </c>
      <c r="I12" s="212" t="s">
        <v>226</v>
      </c>
    </row>
    <row r="13" spans="1:14" s="216" customFormat="1" ht="20.100000000000001" customHeight="1">
      <c r="A13" s="320">
        <v>2021</v>
      </c>
      <c r="B13" s="217">
        <v>122</v>
      </c>
      <c r="C13" s="217"/>
      <c r="D13" s="218">
        <v>20</v>
      </c>
      <c r="E13" s="217"/>
      <c r="F13" s="218">
        <v>0</v>
      </c>
      <c r="G13" s="218"/>
      <c r="H13" s="219">
        <v>60</v>
      </c>
      <c r="I13" s="217"/>
    </row>
    <row r="14" spans="1:14" s="220" customFormat="1" ht="20.100000000000001" customHeight="1">
      <c r="A14" s="320">
        <v>2022</v>
      </c>
      <c r="B14" s="217">
        <v>116</v>
      </c>
      <c r="C14" s="217"/>
      <c r="D14" s="218">
        <v>20</v>
      </c>
      <c r="E14" s="217"/>
      <c r="F14" s="218"/>
      <c r="G14" s="218"/>
      <c r="H14" s="219">
        <v>56</v>
      </c>
      <c r="I14" s="217"/>
    </row>
    <row r="15" spans="1:14" s="220" customFormat="1" ht="20.100000000000001" customHeight="1">
      <c r="A15" s="221">
        <v>2023</v>
      </c>
      <c r="B15" s="222">
        <v>109</v>
      </c>
      <c r="C15" s="222"/>
      <c r="D15" s="223">
        <v>20</v>
      </c>
      <c r="E15" s="222"/>
      <c r="F15" s="223"/>
      <c r="G15" s="223"/>
      <c r="H15" s="224">
        <v>53</v>
      </c>
      <c r="I15" s="222"/>
    </row>
    <row r="16" spans="1:14" s="69" customFormat="1" ht="20.100000000000001" customHeight="1">
      <c r="A16" s="321"/>
      <c r="B16" s="322"/>
      <c r="C16" s="322"/>
      <c r="D16" s="322"/>
      <c r="E16" s="322"/>
      <c r="F16" s="322"/>
      <c r="G16" s="322"/>
      <c r="H16" s="322"/>
      <c r="I16" s="322"/>
    </row>
    <row r="17" spans="1:9" ht="20.100000000000001" customHeight="1">
      <c r="A17" s="323" t="s">
        <v>129</v>
      </c>
      <c r="B17" s="324" t="s">
        <v>18</v>
      </c>
      <c r="C17" s="325"/>
      <c r="D17" s="324" t="s">
        <v>154</v>
      </c>
      <c r="E17" s="326"/>
      <c r="F17" s="326"/>
      <c r="G17" s="326"/>
      <c r="H17" s="326"/>
      <c r="I17" s="325"/>
    </row>
    <row r="18" spans="1:9" ht="20.100000000000001" customHeight="1">
      <c r="A18" s="327"/>
      <c r="B18" s="328" t="s">
        <v>76</v>
      </c>
      <c r="C18" s="329"/>
      <c r="D18" s="328" t="s">
        <v>148</v>
      </c>
      <c r="E18" s="330"/>
      <c r="F18" s="331" t="s">
        <v>13</v>
      </c>
      <c r="G18" s="331"/>
      <c r="H18" s="332" t="s">
        <v>77</v>
      </c>
      <c r="I18" s="332"/>
    </row>
    <row r="19" spans="1:9" s="69" customFormat="1" ht="20.100000000000001" customHeight="1">
      <c r="A19" s="327"/>
      <c r="B19" s="333" t="s">
        <v>143</v>
      </c>
      <c r="C19" s="334" t="s">
        <v>181</v>
      </c>
      <c r="D19" s="333" t="s">
        <v>143</v>
      </c>
      <c r="E19" s="333" t="s">
        <v>181</v>
      </c>
      <c r="F19" s="334" t="s">
        <v>143</v>
      </c>
      <c r="G19" s="335" t="s">
        <v>181</v>
      </c>
      <c r="H19" s="333" t="s">
        <v>143</v>
      </c>
      <c r="I19" s="333" t="s">
        <v>181</v>
      </c>
    </row>
    <row r="20" spans="1:9" ht="27">
      <c r="A20" s="336"/>
      <c r="B20" s="337" t="s">
        <v>159</v>
      </c>
      <c r="C20" s="337" t="s">
        <v>22</v>
      </c>
      <c r="D20" s="337" t="s">
        <v>159</v>
      </c>
      <c r="E20" s="338" t="s">
        <v>22</v>
      </c>
      <c r="F20" s="339" t="s">
        <v>159</v>
      </c>
      <c r="G20" s="337" t="s">
        <v>22</v>
      </c>
      <c r="H20" s="337" t="s">
        <v>159</v>
      </c>
      <c r="I20" s="338" t="s">
        <v>22</v>
      </c>
    </row>
    <row r="21" spans="1:9" ht="20.100000000000001" customHeight="1">
      <c r="A21" s="340"/>
      <c r="B21" s="341"/>
      <c r="C21" s="341"/>
      <c r="D21" s="341"/>
      <c r="E21" s="341"/>
      <c r="F21" s="341"/>
      <c r="G21" s="341"/>
      <c r="H21" s="341"/>
      <c r="I21" s="341"/>
    </row>
    <row r="22" spans="1:9" s="226" customFormat="1" ht="20.100000000000001" customHeight="1">
      <c r="A22" s="320">
        <v>2019</v>
      </c>
      <c r="B22" s="212">
        <v>43</v>
      </c>
      <c r="C22" s="212" t="s">
        <v>226</v>
      </c>
      <c r="D22" s="213">
        <v>440</v>
      </c>
      <c r="E22" s="212" t="s">
        <v>226</v>
      </c>
      <c r="F22" s="213">
        <v>387</v>
      </c>
      <c r="G22" s="212" t="s">
        <v>226</v>
      </c>
      <c r="H22" s="225">
        <v>53</v>
      </c>
      <c r="I22" s="212" t="s">
        <v>226</v>
      </c>
    </row>
    <row r="23" spans="1:9" s="226" customFormat="1" ht="20.100000000000001" customHeight="1">
      <c r="A23" s="320">
        <v>2020</v>
      </c>
      <c r="B23" s="212">
        <v>42</v>
      </c>
      <c r="C23" s="212" t="s">
        <v>226</v>
      </c>
      <c r="D23" s="213">
        <v>446</v>
      </c>
      <c r="E23" s="212" t="s">
        <v>226</v>
      </c>
      <c r="F23" s="213">
        <v>392</v>
      </c>
      <c r="G23" s="212" t="s">
        <v>226</v>
      </c>
      <c r="H23" s="225">
        <v>54</v>
      </c>
      <c r="I23" s="212" t="s">
        <v>226</v>
      </c>
    </row>
    <row r="24" spans="1:9" s="227" customFormat="1" ht="20.100000000000001" customHeight="1">
      <c r="A24" s="320">
        <v>2021</v>
      </c>
      <c r="B24" s="217">
        <v>42</v>
      </c>
      <c r="C24" s="217"/>
      <c r="D24" s="218">
        <v>469</v>
      </c>
      <c r="E24" s="217"/>
      <c r="F24" s="218">
        <v>404</v>
      </c>
      <c r="G24" s="217"/>
      <c r="H24" s="228">
        <v>65</v>
      </c>
      <c r="I24" s="217"/>
    </row>
    <row r="25" spans="1:9" s="229" customFormat="1" ht="20.100000000000001" customHeight="1">
      <c r="A25" s="320">
        <v>2022</v>
      </c>
      <c r="B25" s="217">
        <v>40</v>
      </c>
      <c r="C25" s="217"/>
      <c r="D25" s="218">
        <v>469</v>
      </c>
      <c r="E25" s="217"/>
      <c r="F25" s="218">
        <v>410</v>
      </c>
      <c r="G25" s="217"/>
      <c r="H25" s="228">
        <v>59</v>
      </c>
      <c r="I25" s="217"/>
    </row>
    <row r="26" spans="1:9" s="229" customFormat="1" ht="20.100000000000001" customHeight="1">
      <c r="A26" s="221">
        <v>2023</v>
      </c>
      <c r="B26" s="222">
        <v>36</v>
      </c>
      <c r="C26" s="222"/>
      <c r="D26" s="223">
        <v>466</v>
      </c>
      <c r="E26" s="222"/>
      <c r="F26" s="223">
        <v>411</v>
      </c>
      <c r="G26" s="222"/>
      <c r="H26" s="230">
        <v>55</v>
      </c>
      <c r="I26" s="222"/>
    </row>
    <row r="27" spans="1:9" ht="20.100000000000001" customHeight="1">
      <c r="A27" s="59"/>
      <c r="B27" s="60"/>
      <c r="C27" s="60"/>
      <c r="D27" s="60"/>
      <c r="E27" s="60"/>
      <c r="F27" s="60"/>
      <c r="G27" s="60"/>
      <c r="H27" s="60"/>
      <c r="I27" s="60"/>
    </row>
    <row r="28" spans="1:9" ht="15.95" customHeight="1">
      <c r="A28" s="102" t="s">
        <v>45</v>
      </c>
      <c r="B28" s="49"/>
      <c r="C28" s="62"/>
      <c r="D28" s="62"/>
      <c r="E28" s="62"/>
      <c r="F28" s="62"/>
      <c r="G28" s="62"/>
      <c r="H28" s="62"/>
      <c r="I28" s="62"/>
    </row>
    <row r="29" spans="1:9">
      <c r="A29" s="62"/>
      <c r="B29" s="49"/>
      <c r="C29" s="62"/>
      <c r="D29" s="62"/>
      <c r="E29" s="62"/>
      <c r="F29" s="62"/>
      <c r="G29" s="62"/>
      <c r="H29" s="62"/>
      <c r="I29" s="93"/>
    </row>
    <row r="30" spans="1:9">
      <c r="A30" s="103"/>
      <c r="B30" s="49"/>
      <c r="C30" s="62"/>
      <c r="D30" s="62"/>
      <c r="E30" s="62"/>
      <c r="F30" s="62"/>
      <c r="G30" s="62"/>
      <c r="H30" s="62"/>
      <c r="I30" s="62"/>
    </row>
    <row r="31" spans="1:9">
      <c r="A31" s="79"/>
      <c r="B31" s="49"/>
    </row>
  </sheetData>
  <mergeCells count="15">
    <mergeCell ref="A3:I3"/>
    <mergeCell ref="A4:I4"/>
    <mergeCell ref="A17:A20"/>
    <mergeCell ref="B18:C18"/>
    <mergeCell ref="D18:E18"/>
    <mergeCell ref="A6:A9"/>
    <mergeCell ref="B7:C7"/>
    <mergeCell ref="D7:E7"/>
    <mergeCell ref="H18:I18"/>
    <mergeCell ref="F18:G18"/>
    <mergeCell ref="D17:I17"/>
    <mergeCell ref="B6:I6"/>
    <mergeCell ref="B17:C17"/>
    <mergeCell ref="F7:G7"/>
    <mergeCell ref="H7:I7"/>
  </mergeCells>
  <phoneticPr fontId="33" type="noConversion"/>
  <pageMargins left="0.59041666984558105" right="0.59041666984558105" top="0.59041666984558105" bottom="0.59041666984558105" header="0" footer="0"/>
  <pageSetup paperSize="9" scale="66" fitToWidth="0" orientation="portrait" blackAndWhite="1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>
    <tabColor rgb="FF1F497D"/>
  </sheetPr>
  <dimension ref="A1:IT31"/>
  <sheetViews>
    <sheetView view="pageBreakPreview" zoomScaleNormal="100" zoomScaleSheetLayoutView="100" workbookViewId="0">
      <selection activeCell="L15" sqref="L15"/>
    </sheetView>
  </sheetViews>
  <sheetFormatPr defaultColWidth="8.88671875" defaultRowHeight="13.5"/>
  <cols>
    <col min="1" max="7" width="10.77734375" style="50" customWidth="1"/>
    <col min="8" max="16384" width="8.88671875" style="50"/>
  </cols>
  <sheetData>
    <row r="1" spans="1:254" ht="20.100000000000001" customHeight="1">
      <c r="A1" s="47" t="s">
        <v>163</v>
      </c>
      <c r="G1" s="109" t="s">
        <v>19</v>
      </c>
    </row>
    <row r="2" spans="1:254" ht="20.100000000000001" customHeight="1"/>
    <row r="3" spans="1:254" ht="25.5">
      <c r="A3" s="252" t="s">
        <v>161</v>
      </c>
      <c r="B3" s="252"/>
      <c r="C3" s="252"/>
      <c r="D3" s="252"/>
      <c r="E3" s="252"/>
      <c r="F3" s="252"/>
      <c r="G3" s="252"/>
    </row>
    <row r="4" spans="1:254" ht="25.5">
      <c r="A4" s="252" t="s">
        <v>72</v>
      </c>
      <c r="B4" s="252"/>
      <c r="C4" s="252"/>
      <c r="D4" s="252"/>
      <c r="E4" s="252"/>
      <c r="F4" s="252"/>
      <c r="G4" s="252"/>
    </row>
    <row r="5" spans="1:254" ht="20.100000000000001" customHeight="1">
      <c r="A5" s="95"/>
      <c r="B5" s="95"/>
      <c r="C5" s="95"/>
      <c r="D5" s="95"/>
      <c r="E5" s="95"/>
      <c r="F5" s="95"/>
      <c r="G5" s="95"/>
    </row>
    <row r="6" spans="1:254" ht="15.95" customHeight="1">
      <c r="A6" s="75" t="s">
        <v>156</v>
      </c>
      <c r="B6" s="60"/>
      <c r="C6" s="60"/>
      <c r="D6" s="60"/>
      <c r="E6" s="91"/>
      <c r="F6" s="91"/>
      <c r="G6" s="82" t="s">
        <v>1</v>
      </c>
    </row>
    <row r="7" spans="1:254" ht="20.100000000000001" customHeight="1">
      <c r="A7" s="254" t="s">
        <v>68</v>
      </c>
      <c r="B7" s="267" t="s">
        <v>246</v>
      </c>
      <c r="C7" s="268"/>
      <c r="D7" s="268"/>
      <c r="E7" s="268"/>
      <c r="F7" s="268"/>
      <c r="G7" s="269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  <c r="AY7" s="55"/>
      <c r="AZ7" s="55"/>
      <c r="BA7" s="55"/>
      <c r="BB7" s="55"/>
      <c r="BC7" s="55"/>
      <c r="BD7" s="55"/>
      <c r="BE7" s="55"/>
      <c r="BF7" s="55"/>
      <c r="BG7" s="55"/>
      <c r="BH7" s="55"/>
      <c r="BI7" s="55"/>
      <c r="BJ7" s="55"/>
      <c r="BK7" s="55"/>
      <c r="BL7" s="55"/>
      <c r="BM7" s="55"/>
      <c r="BN7" s="55"/>
      <c r="BO7" s="55"/>
      <c r="BP7" s="55"/>
      <c r="BQ7" s="55"/>
      <c r="BR7" s="55"/>
      <c r="BS7" s="55"/>
      <c r="BT7" s="55"/>
      <c r="BU7" s="55"/>
      <c r="BV7" s="55"/>
      <c r="BW7" s="55"/>
      <c r="BX7" s="55"/>
      <c r="BY7" s="55"/>
      <c r="BZ7" s="55"/>
      <c r="CA7" s="55"/>
      <c r="CB7" s="55"/>
      <c r="CC7" s="55"/>
      <c r="CD7" s="55"/>
      <c r="CE7" s="55"/>
      <c r="CF7" s="55"/>
      <c r="CG7" s="55"/>
      <c r="CH7" s="55"/>
      <c r="CI7" s="55"/>
      <c r="CJ7" s="55"/>
      <c r="CK7" s="55"/>
      <c r="CL7" s="55"/>
      <c r="CM7" s="55"/>
      <c r="CN7" s="55"/>
      <c r="CO7" s="55"/>
      <c r="CP7" s="55"/>
      <c r="CQ7" s="55"/>
      <c r="CR7" s="55"/>
      <c r="CS7" s="55"/>
      <c r="CT7" s="55"/>
      <c r="CU7" s="55"/>
      <c r="CV7" s="55"/>
      <c r="CW7" s="55"/>
      <c r="CX7" s="55"/>
      <c r="CY7" s="55"/>
      <c r="CZ7" s="55"/>
      <c r="DA7" s="55"/>
      <c r="DB7" s="55"/>
      <c r="DC7" s="55"/>
      <c r="DD7" s="55"/>
      <c r="DE7" s="55"/>
      <c r="DF7" s="55"/>
      <c r="DG7" s="55"/>
      <c r="DH7" s="55"/>
      <c r="DI7" s="55"/>
      <c r="DJ7" s="55"/>
      <c r="DK7" s="55"/>
      <c r="DL7" s="55"/>
      <c r="DM7" s="55"/>
      <c r="DN7" s="55"/>
      <c r="DO7" s="55"/>
      <c r="DP7" s="55"/>
      <c r="DQ7" s="55"/>
      <c r="DR7" s="55"/>
      <c r="DS7" s="55"/>
      <c r="DT7" s="55"/>
      <c r="DU7" s="55"/>
      <c r="DV7" s="55"/>
      <c r="DW7" s="55"/>
      <c r="DX7" s="55"/>
      <c r="DY7" s="55"/>
      <c r="DZ7" s="55"/>
      <c r="EA7" s="55"/>
      <c r="EB7" s="55"/>
      <c r="EC7" s="55"/>
      <c r="ED7" s="55"/>
      <c r="EE7" s="55"/>
      <c r="EF7" s="55"/>
      <c r="EG7" s="55"/>
      <c r="EH7" s="55"/>
      <c r="EI7" s="55"/>
      <c r="EJ7" s="55"/>
      <c r="EK7" s="55"/>
      <c r="EL7" s="55"/>
      <c r="EM7" s="55"/>
      <c r="EN7" s="55"/>
      <c r="EO7" s="55"/>
      <c r="EP7" s="55"/>
      <c r="EQ7" s="55"/>
      <c r="ER7" s="55"/>
      <c r="ES7" s="55"/>
      <c r="ET7" s="55"/>
      <c r="EU7" s="55"/>
      <c r="EV7" s="55"/>
      <c r="EW7" s="55"/>
      <c r="EX7" s="55"/>
      <c r="EY7" s="55"/>
      <c r="EZ7" s="55"/>
      <c r="FA7" s="55"/>
      <c r="FB7" s="55"/>
      <c r="FC7" s="55"/>
      <c r="FD7" s="55"/>
      <c r="FE7" s="55"/>
      <c r="FF7" s="55"/>
      <c r="FG7" s="55"/>
      <c r="FH7" s="55"/>
      <c r="FI7" s="55"/>
      <c r="FJ7" s="55"/>
      <c r="FK7" s="55"/>
      <c r="FL7" s="55"/>
      <c r="FM7" s="55"/>
      <c r="FN7" s="55"/>
      <c r="FO7" s="55"/>
      <c r="FP7" s="55"/>
      <c r="FQ7" s="55"/>
      <c r="FR7" s="55"/>
      <c r="FS7" s="55"/>
      <c r="FT7" s="55"/>
      <c r="FU7" s="55"/>
      <c r="FV7" s="55"/>
      <c r="FW7" s="55"/>
      <c r="FX7" s="55"/>
      <c r="FY7" s="55"/>
      <c r="FZ7" s="55"/>
      <c r="GA7" s="55"/>
      <c r="GB7" s="55"/>
      <c r="GC7" s="55"/>
      <c r="GD7" s="55"/>
      <c r="GE7" s="55"/>
      <c r="GF7" s="55"/>
      <c r="GG7" s="55"/>
      <c r="GH7" s="55"/>
      <c r="GI7" s="55"/>
      <c r="GJ7" s="55"/>
      <c r="GK7" s="55"/>
      <c r="GL7" s="55"/>
      <c r="GM7" s="55"/>
      <c r="GN7" s="55"/>
      <c r="GO7" s="55"/>
      <c r="GP7" s="55"/>
      <c r="GQ7" s="55"/>
      <c r="GR7" s="55"/>
      <c r="GS7" s="55"/>
      <c r="GT7" s="55"/>
      <c r="GU7" s="55"/>
      <c r="GV7" s="55"/>
      <c r="GW7" s="55"/>
      <c r="GX7" s="55"/>
      <c r="GY7" s="55"/>
      <c r="GZ7" s="55"/>
      <c r="HA7" s="55"/>
      <c r="HB7" s="55"/>
      <c r="HC7" s="55"/>
      <c r="HD7" s="55"/>
      <c r="HE7" s="55"/>
      <c r="HF7" s="55"/>
      <c r="HG7" s="55"/>
      <c r="HH7" s="55"/>
      <c r="HI7" s="55"/>
      <c r="HJ7" s="55"/>
      <c r="HK7" s="55"/>
      <c r="HL7" s="55"/>
      <c r="HM7" s="55"/>
      <c r="HN7" s="55"/>
      <c r="HO7" s="55"/>
      <c r="HP7" s="55"/>
      <c r="HQ7" s="55"/>
      <c r="HR7" s="55"/>
      <c r="HS7" s="55"/>
      <c r="HT7" s="55"/>
      <c r="HU7" s="55"/>
      <c r="HV7" s="55"/>
      <c r="HW7" s="55"/>
      <c r="HX7" s="55"/>
      <c r="HY7" s="55"/>
      <c r="HZ7" s="55"/>
      <c r="IA7" s="55"/>
      <c r="IB7" s="55"/>
      <c r="IC7" s="55"/>
      <c r="ID7" s="55"/>
      <c r="IE7" s="55"/>
      <c r="IF7" s="55"/>
      <c r="IG7" s="55"/>
      <c r="IH7" s="55"/>
      <c r="II7" s="55"/>
      <c r="IJ7" s="55"/>
      <c r="IK7" s="55"/>
      <c r="IL7" s="55"/>
      <c r="IM7" s="55"/>
      <c r="IN7" s="55"/>
      <c r="IO7" s="55"/>
      <c r="IP7" s="55"/>
      <c r="IQ7" s="55"/>
      <c r="IR7" s="55"/>
      <c r="IS7" s="55"/>
      <c r="IT7" s="55"/>
    </row>
    <row r="8" spans="1:254" ht="20.100000000000001" customHeight="1">
      <c r="A8" s="255"/>
      <c r="B8" s="261" t="s">
        <v>71</v>
      </c>
      <c r="C8" s="266"/>
      <c r="D8" s="262"/>
      <c r="E8" s="266" t="s">
        <v>20</v>
      </c>
      <c r="F8" s="266"/>
      <c r="G8" s="266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54"/>
      <c r="BC8" s="54"/>
      <c r="BD8" s="54"/>
      <c r="BE8" s="54"/>
      <c r="BF8" s="54"/>
      <c r="BG8" s="54"/>
      <c r="BH8" s="54"/>
      <c r="BI8" s="54"/>
      <c r="BJ8" s="54"/>
      <c r="BK8" s="54"/>
      <c r="BL8" s="54"/>
      <c r="BM8" s="54"/>
      <c r="BN8" s="54"/>
      <c r="BO8" s="54"/>
      <c r="BP8" s="54"/>
      <c r="BQ8" s="54"/>
      <c r="BR8" s="54"/>
      <c r="BS8" s="54"/>
      <c r="BT8" s="54"/>
      <c r="BU8" s="54"/>
      <c r="BV8" s="54"/>
      <c r="BW8" s="54"/>
      <c r="BX8" s="54"/>
      <c r="BY8" s="54"/>
      <c r="BZ8" s="54"/>
      <c r="CA8" s="54"/>
      <c r="CB8" s="54"/>
      <c r="CC8" s="54"/>
      <c r="CD8" s="54"/>
      <c r="CE8" s="54"/>
      <c r="CF8" s="54"/>
      <c r="CG8" s="54"/>
      <c r="CH8" s="54"/>
      <c r="CI8" s="54"/>
      <c r="CJ8" s="54"/>
      <c r="CK8" s="54"/>
      <c r="CL8" s="54"/>
      <c r="CM8" s="54"/>
      <c r="CN8" s="54"/>
      <c r="CO8" s="54"/>
      <c r="CP8" s="54"/>
      <c r="CQ8" s="54"/>
      <c r="CR8" s="54"/>
      <c r="CS8" s="54"/>
      <c r="CT8" s="54"/>
      <c r="CU8" s="54"/>
      <c r="CV8" s="54"/>
      <c r="CW8" s="54"/>
      <c r="CX8" s="54"/>
      <c r="CY8" s="54"/>
      <c r="CZ8" s="54"/>
      <c r="DA8" s="54"/>
      <c r="DB8" s="54"/>
      <c r="DC8" s="54"/>
      <c r="DD8" s="54"/>
      <c r="DE8" s="54"/>
      <c r="DF8" s="54"/>
      <c r="DG8" s="54"/>
      <c r="DH8" s="54"/>
      <c r="DI8" s="54"/>
      <c r="DJ8" s="54"/>
      <c r="DK8" s="54"/>
      <c r="DL8" s="54"/>
      <c r="DM8" s="54"/>
      <c r="DN8" s="54"/>
      <c r="DO8" s="54"/>
      <c r="DP8" s="54"/>
      <c r="DQ8" s="54"/>
      <c r="DR8" s="54"/>
      <c r="DS8" s="54"/>
      <c r="DT8" s="54"/>
      <c r="DU8" s="54"/>
      <c r="DV8" s="54"/>
      <c r="DW8" s="54"/>
      <c r="DX8" s="54"/>
      <c r="DY8" s="54"/>
      <c r="DZ8" s="54"/>
      <c r="EA8" s="54"/>
      <c r="EB8" s="54"/>
      <c r="EC8" s="54"/>
      <c r="ED8" s="54"/>
      <c r="EE8" s="54"/>
      <c r="EF8" s="54"/>
      <c r="EG8" s="54"/>
      <c r="EH8" s="54"/>
      <c r="EI8" s="54"/>
      <c r="EJ8" s="54"/>
      <c r="EK8" s="54"/>
      <c r="EL8" s="54"/>
      <c r="EM8" s="54"/>
      <c r="EN8" s="54"/>
      <c r="EO8" s="54"/>
      <c r="EP8" s="54"/>
      <c r="EQ8" s="54"/>
      <c r="ER8" s="54"/>
      <c r="ES8" s="54"/>
      <c r="ET8" s="54"/>
      <c r="EU8" s="54"/>
      <c r="EV8" s="54"/>
      <c r="EW8" s="54"/>
      <c r="EX8" s="54"/>
      <c r="EY8" s="54"/>
      <c r="EZ8" s="54"/>
      <c r="FA8" s="54"/>
      <c r="FB8" s="54"/>
      <c r="FC8" s="54"/>
      <c r="FD8" s="54"/>
      <c r="FE8" s="54"/>
      <c r="FF8" s="54"/>
      <c r="FG8" s="54"/>
      <c r="FH8" s="54"/>
      <c r="FI8" s="54"/>
      <c r="FJ8" s="54"/>
      <c r="FK8" s="54"/>
      <c r="FL8" s="54"/>
      <c r="FM8" s="54"/>
      <c r="FN8" s="54"/>
      <c r="FO8" s="54"/>
      <c r="FP8" s="54"/>
      <c r="FQ8" s="54"/>
      <c r="FR8" s="54"/>
      <c r="FS8" s="54"/>
      <c r="FT8" s="54"/>
      <c r="FU8" s="54"/>
      <c r="FV8" s="54"/>
      <c r="FW8" s="54"/>
      <c r="FX8" s="54"/>
      <c r="FY8" s="54"/>
      <c r="FZ8" s="54"/>
      <c r="GA8" s="54"/>
      <c r="GB8" s="54"/>
      <c r="GC8" s="54"/>
      <c r="GD8" s="54"/>
      <c r="GE8" s="54"/>
      <c r="GF8" s="54"/>
      <c r="GG8" s="54"/>
      <c r="GH8" s="54"/>
      <c r="GI8" s="54"/>
      <c r="GJ8" s="54"/>
      <c r="GK8" s="54"/>
      <c r="GL8" s="54"/>
      <c r="GM8" s="54"/>
      <c r="GN8" s="54"/>
      <c r="GO8" s="54"/>
      <c r="GP8" s="54"/>
      <c r="GQ8" s="54"/>
      <c r="GR8" s="54"/>
      <c r="GS8" s="54"/>
      <c r="GT8" s="54"/>
      <c r="GU8" s="54"/>
      <c r="GV8" s="54"/>
      <c r="GW8" s="54"/>
      <c r="GX8" s="54"/>
      <c r="GY8" s="54"/>
      <c r="GZ8" s="54"/>
      <c r="HA8" s="54"/>
      <c r="HB8" s="54"/>
      <c r="HC8" s="54"/>
      <c r="HD8" s="54"/>
      <c r="HE8" s="54"/>
      <c r="HF8" s="54"/>
      <c r="HG8" s="54"/>
      <c r="HH8" s="54"/>
      <c r="HI8" s="54"/>
      <c r="HJ8" s="54"/>
      <c r="HK8" s="54"/>
      <c r="HL8" s="54"/>
      <c r="HM8" s="54"/>
      <c r="HN8" s="54"/>
      <c r="HO8" s="54"/>
      <c r="HP8" s="54"/>
      <c r="HQ8" s="54"/>
      <c r="HR8" s="54"/>
      <c r="HS8" s="54"/>
      <c r="HT8" s="54"/>
      <c r="HU8" s="54"/>
      <c r="HV8" s="54"/>
      <c r="HW8" s="54"/>
      <c r="HX8" s="54"/>
      <c r="HY8" s="54"/>
      <c r="HZ8" s="54"/>
      <c r="IA8" s="54"/>
      <c r="IB8" s="54"/>
      <c r="IC8" s="54"/>
      <c r="ID8" s="54"/>
      <c r="IE8" s="54"/>
      <c r="IF8" s="54"/>
      <c r="IG8" s="54"/>
      <c r="IH8" s="54"/>
      <c r="II8" s="54"/>
      <c r="IJ8" s="54"/>
      <c r="IK8" s="54"/>
      <c r="IL8" s="54"/>
      <c r="IM8" s="54"/>
      <c r="IN8" s="54"/>
      <c r="IO8" s="54"/>
      <c r="IP8" s="54"/>
      <c r="IQ8" s="54"/>
      <c r="IR8" s="54"/>
      <c r="IS8" s="54"/>
      <c r="IT8" s="54"/>
    </row>
    <row r="9" spans="1:254" ht="20.100000000000001" customHeight="1">
      <c r="A9" s="255"/>
      <c r="B9" s="53" t="s">
        <v>188</v>
      </c>
      <c r="C9" s="52" t="s">
        <v>196</v>
      </c>
      <c r="D9" s="52" t="s">
        <v>202</v>
      </c>
      <c r="E9" s="52" t="s">
        <v>182</v>
      </c>
      <c r="F9" s="52" t="s">
        <v>191</v>
      </c>
      <c r="G9" s="53" t="s">
        <v>198</v>
      </c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55"/>
      <c r="BK9" s="55"/>
      <c r="BL9" s="55"/>
      <c r="BM9" s="55"/>
      <c r="BN9" s="55"/>
      <c r="BO9" s="55"/>
      <c r="BP9" s="55"/>
      <c r="BQ9" s="55"/>
      <c r="BR9" s="55"/>
      <c r="BS9" s="55"/>
      <c r="BT9" s="55"/>
      <c r="BU9" s="55"/>
      <c r="BV9" s="55"/>
      <c r="BW9" s="55"/>
      <c r="BX9" s="55"/>
      <c r="BY9" s="55"/>
      <c r="BZ9" s="55"/>
      <c r="CA9" s="55"/>
      <c r="CB9" s="55"/>
      <c r="CC9" s="55"/>
      <c r="CD9" s="55"/>
      <c r="CE9" s="55"/>
      <c r="CF9" s="55"/>
      <c r="CG9" s="55"/>
      <c r="CH9" s="55"/>
      <c r="CI9" s="55"/>
      <c r="CJ9" s="55"/>
      <c r="CK9" s="55"/>
      <c r="CL9" s="55"/>
      <c r="CM9" s="55"/>
      <c r="CN9" s="55"/>
      <c r="CO9" s="55"/>
      <c r="CP9" s="55"/>
      <c r="CQ9" s="55"/>
      <c r="CR9" s="55"/>
      <c r="CS9" s="55"/>
      <c r="CT9" s="55"/>
      <c r="CU9" s="55"/>
      <c r="CV9" s="55"/>
      <c r="CW9" s="55"/>
      <c r="CX9" s="55"/>
      <c r="CY9" s="55"/>
      <c r="CZ9" s="55"/>
      <c r="DA9" s="55"/>
      <c r="DB9" s="55"/>
      <c r="DC9" s="55"/>
      <c r="DD9" s="55"/>
      <c r="DE9" s="55"/>
      <c r="DF9" s="55"/>
      <c r="DG9" s="55"/>
      <c r="DH9" s="55"/>
      <c r="DI9" s="55"/>
      <c r="DJ9" s="55"/>
      <c r="DK9" s="55"/>
      <c r="DL9" s="55"/>
      <c r="DM9" s="55"/>
      <c r="DN9" s="55"/>
      <c r="DO9" s="55"/>
      <c r="DP9" s="55"/>
      <c r="DQ9" s="55"/>
      <c r="DR9" s="55"/>
      <c r="DS9" s="55"/>
      <c r="DT9" s="55"/>
      <c r="DU9" s="55"/>
      <c r="DV9" s="55"/>
      <c r="DW9" s="55"/>
      <c r="DX9" s="55"/>
      <c r="DY9" s="55"/>
      <c r="DZ9" s="55"/>
      <c r="EA9" s="55"/>
      <c r="EB9" s="55"/>
      <c r="EC9" s="55"/>
      <c r="ED9" s="55"/>
      <c r="EE9" s="55"/>
      <c r="EF9" s="55"/>
      <c r="EG9" s="55"/>
      <c r="EH9" s="55"/>
      <c r="EI9" s="55"/>
      <c r="EJ9" s="55"/>
      <c r="EK9" s="55"/>
      <c r="EL9" s="55"/>
      <c r="EM9" s="55"/>
      <c r="EN9" s="55"/>
      <c r="EO9" s="55"/>
      <c r="EP9" s="55"/>
      <c r="EQ9" s="55"/>
      <c r="ER9" s="55"/>
      <c r="ES9" s="55"/>
      <c r="ET9" s="55"/>
      <c r="EU9" s="55"/>
      <c r="EV9" s="55"/>
      <c r="EW9" s="55"/>
      <c r="EX9" s="55"/>
      <c r="EY9" s="55"/>
      <c r="EZ9" s="55"/>
      <c r="FA9" s="55"/>
      <c r="FB9" s="55"/>
      <c r="FC9" s="55"/>
      <c r="FD9" s="55"/>
      <c r="FE9" s="55"/>
      <c r="FF9" s="55"/>
      <c r="FG9" s="55"/>
      <c r="FH9" s="55"/>
      <c r="FI9" s="55"/>
      <c r="FJ9" s="55"/>
      <c r="FK9" s="55"/>
      <c r="FL9" s="55"/>
      <c r="FM9" s="55"/>
      <c r="FN9" s="55"/>
      <c r="FO9" s="55"/>
      <c r="FP9" s="55"/>
      <c r="FQ9" s="55"/>
      <c r="FR9" s="55"/>
      <c r="FS9" s="55"/>
      <c r="FT9" s="55"/>
      <c r="FU9" s="55"/>
      <c r="FV9" s="55"/>
      <c r="FW9" s="55"/>
      <c r="FX9" s="55"/>
      <c r="FY9" s="55"/>
      <c r="FZ9" s="55"/>
      <c r="GA9" s="55"/>
      <c r="GB9" s="55"/>
      <c r="GC9" s="55"/>
      <c r="GD9" s="55"/>
      <c r="GE9" s="55"/>
      <c r="GF9" s="55"/>
      <c r="GG9" s="55"/>
      <c r="GH9" s="55"/>
      <c r="GI9" s="55"/>
      <c r="GJ9" s="55"/>
      <c r="GK9" s="55"/>
      <c r="GL9" s="55"/>
      <c r="GM9" s="55"/>
      <c r="GN9" s="55"/>
      <c r="GO9" s="55"/>
      <c r="GP9" s="55"/>
      <c r="GQ9" s="55"/>
      <c r="GR9" s="55"/>
      <c r="GS9" s="55"/>
      <c r="GT9" s="55"/>
      <c r="GU9" s="55"/>
      <c r="GV9" s="55"/>
      <c r="GW9" s="55"/>
      <c r="GX9" s="55"/>
      <c r="GY9" s="55"/>
      <c r="GZ9" s="55"/>
      <c r="HA9" s="55"/>
      <c r="HB9" s="55"/>
      <c r="HC9" s="55"/>
      <c r="HD9" s="55"/>
      <c r="HE9" s="55"/>
      <c r="HF9" s="55"/>
      <c r="HG9" s="55"/>
      <c r="HH9" s="55"/>
      <c r="HI9" s="55"/>
      <c r="HJ9" s="55"/>
      <c r="HK9" s="55"/>
      <c r="HL9" s="55"/>
      <c r="HM9" s="55"/>
      <c r="HN9" s="55"/>
      <c r="HO9" s="55"/>
      <c r="HP9" s="55"/>
      <c r="HQ9" s="55"/>
      <c r="HR9" s="55"/>
      <c r="HS9" s="55"/>
      <c r="HT9" s="55"/>
      <c r="HU9" s="55"/>
      <c r="HV9" s="55"/>
      <c r="HW9" s="55"/>
      <c r="HX9" s="55"/>
      <c r="HY9" s="55"/>
      <c r="HZ9" s="55"/>
      <c r="IA9" s="55"/>
      <c r="IB9" s="55"/>
      <c r="IC9" s="55"/>
      <c r="ID9" s="55"/>
      <c r="IE9" s="55"/>
      <c r="IF9" s="55"/>
      <c r="IG9" s="55"/>
      <c r="IH9" s="55"/>
      <c r="II9" s="55"/>
      <c r="IJ9" s="55"/>
      <c r="IK9" s="55"/>
      <c r="IL9" s="55"/>
      <c r="IM9" s="55"/>
      <c r="IN9" s="55"/>
      <c r="IO9" s="55"/>
      <c r="IP9" s="55"/>
      <c r="IQ9" s="55"/>
      <c r="IR9" s="55"/>
      <c r="IS9" s="55"/>
      <c r="IT9" s="55"/>
    </row>
    <row r="10" spans="1:254" ht="20.100000000000001" customHeight="1">
      <c r="A10" s="256"/>
      <c r="B10" s="57" t="s">
        <v>65</v>
      </c>
      <c r="C10" s="56" t="s">
        <v>146</v>
      </c>
      <c r="D10" s="58" t="s">
        <v>69</v>
      </c>
      <c r="E10" s="58" t="s">
        <v>185</v>
      </c>
      <c r="F10" s="94" t="s">
        <v>64</v>
      </c>
      <c r="G10" s="56" t="s">
        <v>69</v>
      </c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AT10" s="55"/>
      <c r="AU10" s="55"/>
      <c r="AV10" s="55"/>
      <c r="AW10" s="55"/>
      <c r="AX10" s="55"/>
      <c r="AY10" s="55"/>
      <c r="AZ10" s="55"/>
      <c r="BA10" s="55"/>
      <c r="BB10" s="55"/>
      <c r="BC10" s="55"/>
      <c r="BD10" s="55"/>
      <c r="BE10" s="55"/>
      <c r="BF10" s="55"/>
      <c r="BG10" s="55"/>
      <c r="BH10" s="55"/>
      <c r="BI10" s="55"/>
      <c r="BJ10" s="55"/>
      <c r="BK10" s="55"/>
      <c r="BL10" s="55"/>
      <c r="BM10" s="55"/>
      <c r="BN10" s="55"/>
      <c r="BO10" s="55"/>
      <c r="BP10" s="55"/>
      <c r="BQ10" s="55"/>
      <c r="BR10" s="55"/>
      <c r="BS10" s="55"/>
      <c r="BT10" s="55"/>
      <c r="BU10" s="55"/>
      <c r="BV10" s="55"/>
      <c r="BW10" s="55"/>
      <c r="BX10" s="55"/>
      <c r="BY10" s="55"/>
      <c r="BZ10" s="55"/>
      <c r="CA10" s="55"/>
      <c r="CB10" s="55"/>
      <c r="CC10" s="55"/>
      <c r="CD10" s="55"/>
      <c r="CE10" s="55"/>
      <c r="CF10" s="55"/>
      <c r="CG10" s="55"/>
      <c r="CH10" s="55"/>
      <c r="CI10" s="55"/>
      <c r="CJ10" s="55"/>
      <c r="CK10" s="55"/>
      <c r="CL10" s="55"/>
      <c r="CM10" s="55"/>
      <c r="CN10" s="55"/>
      <c r="CO10" s="55"/>
      <c r="CP10" s="55"/>
      <c r="CQ10" s="55"/>
      <c r="CR10" s="55"/>
      <c r="CS10" s="55"/>
      <c r="CT10" s="55"/>
      <c r="CU10" s="55"/>
      <c r="CV10" s="55"/>
      <c r="CW10" s="55"/>
      <c r="CX10" s="55"/>
      <c r="CY10" s="55"/>
      <c r="CZ10" s="55"/>
      <c r="DA10" s="55"/>
      <c r="DB10" s="55"/>
      <c r="DC10" s="55"/>
      <c r="DD10" s="55"/>
      <c r="DE10" s="55"/>
      <c r="DF10" s="55"/>
      <c r="DG10" s="55"/>
      <c r="DH10" s="55"/>
      <c r="DI10" s="55"/>
      <c r="DJ10" s="55"/>
      <c r="DK10" s="55"/>
      <c r="DL10" s="55"/>
      <c r="DM10" s="55"/>
      <c r="DN10" s="55"/>
      <c r="DO10" s="55"/>
      <c r="DP10" s="55"/>
      <c r="DQ10" s="55"/>
      <c r="DR10" s="55"/>
      <c r="DS10" s="55"/>
      <c r="DT10" s="55"/>
      <c r="DU10" s="55"/>
      <c r="DV10" s="55"/>
      <c r="DW10" s="55"/>
      <c r="DX10" s="55"/>
      <c r="DY10" s="55"/>
      <c r="DZ10" s="55"/>
      <c r="EA10" s="55"/>
      <c r="EB10" s="55"/>
      <c r="EC10" s="55"/>
      <c r="ED10" s="55"/>
      <c r="EE10" s="55"/>
      <c r="EF10" s="55"/>
      <c r="EG10" s="55"/>
      <c r="EH10" s="55"/>
      <c r="EI10" s="55"/>
      <c r="EJ10" s="55"/>
      <c r="EK10" s="55"/>
      <c r="EL10" s="55"/>
      <c r="EM10" s="55"/>
      <c r="EN10" s="55"/>
      <c r="EO10" s="55"/>
      <c r="EP10" s="55"/>
      <c r="EQ10" s="55"/>
      <c r="ER10" s="55"/>
      <c r="ES10" s="55"/>
      <c r="ET10" s="55"/>
      <c r="EU10" s="55"/>
      <c r="EV10" s="55"/>
      <c r="EW10" s="55"/>
      <c r="EX10" s="55"/>
      <c r="EY10" s="55"/>
      <c r="EZ10" s="55"/>
      <c r="FA10" s="55"/>
      <c r="FB10" s="55"/>
      <c r="FC10" s="55"/>
      <c r="FD10" s="55"/>
      <c r="FE10" s="55"/>
      <c r="FF10" s="55"/>
      <c r="FG10" s="55"/>
      <c r="FH10" s="55"/>
      <c r="FI10" s="55"/>
      <c r="FJ10" s="55"/>
      <c r="FK10" s="55"/>
      <c r="FL10" s="55"/>
      <c r="FM10" s="55"/>
      <c r="FN10" s="55"/>
      <c r="FO10" s="55"/>
      <c r="FP10" s="55"/>
      <c r="FQ10" s="55"/>
      <c r="FR10" s="55"/>
      <c r="FS10" s="55"/>
      <c r="FT10" s="55"/>
      <c r="FU10" s="55"/>
      <c r="FV10" s="55"/>
      <c r="FW10" s="55"/>
      <c r="FX10" s="55"/>
      <c r="FY10" s="55"/>
      <c r="FZ10" s="55"/>
      <c r="GA10" s="55"/>
      <c r="GB10" s="55"/>
      <c r="GC10" s="55"/>
      <c r="GD10" s="55"/>
      <c r="GE10" s="55"/>
      <c r="GF10" s="55"/>
      <c r="GG10" s="55"/>
      <c r="GH10" s="55"/>
      <c r="GI10" s="55"/>
      <c r="GJ10" s="55"/>
      <c r="GK10" s="55"/>
      <c r="GL10" s="55"/>
      <c r="GM10" s="55"/>
      <c r="GN10" s="55"/>
      <c r="GO10" s="55"/>
      <c r="GP10" s="55"/>
      <c r="GQ10" s="55"/>
      <c r="GR10" s="55"/>
      <c r="GS10" s="55"/>
      <c r="GT10" s="55"/>
      <c r="GU10" s="55"/>
      <c r="GV10" s="55"/>
      <c r="GW10" s="55"/>
      <c r="GX10" s="55"/>
      <c r="GY10" s="55"/>
      <c r="GZ10" s="55"/>
      <c r="HA10" s="55"/>
      <c r="HB10" s="55"/>
      <c r="HC10" s="55"/>
      <c r="HD10" s="55"/>
      <c r="HE10" s="55"/>
      <c r="HF10" s="55"/>
      <c r="HG10" s="55"/>
      <c r="HH10" s="55"/>
      <c r="HI10" s="55"/>
      <c r="HJ10" s="55"/>
      <c r="HK10" s="55"/>
      <c r="HL10" s="55"/>
      <c r="HM10" s="55"/>
      <c r="HN10" s="55"/>
      <c r="HO10" s="55"/>
      <c r="HP10" s="55"/>
      <c r="HQ10" s="55"/>
      <c r="HR10" s="55"/>
      <c r="HS10" s="55"/>
      <c r="HT10" s="55"/>
      <c r="HU10" s="55"/>
      <c r="HV10" s="55"/>
      <c r="HW10" s="55"/>
      <c r="HX10" s="55"/>
      <c r="HY10" s="55"/>
      <c r="HZ10" s="55"/>
      <c r="IA10" s="55"/>
      <c r="IB10" s="55"/>
      <c r="IC10" s="55"/>
      <c r="ID10" s="55"/>
      <c r="IE10" s="55"/>
      <c r="IF10" s="55"/>
      <c r="IG10" s="55"/>
      <c r="IH10" s="55"/>
      <c r="II10" s="55"/>
      <c r="IJ10" s="55"/>
      <c r="IK10" s="55"/>
      <c r="IL10" s="55"/>
      <c r="IM10" s="55"/>
      <c r="IN10" s="55"/>
      <c r="IO10" s="55"/>
      <c r="IP10" s="55"/>
      <c r="IQ10" s="55"/>
      <c r="IR10" s="55"/>
      <c r="IS10" s="55"/>
      <c r="IT10" s="55"/>
    </row>
    <row r="11" spans="1:254" ht="20.100000000000001" customHeight="1">
      <c r="A11" s="68"/>
      <c r="B11" s="49"/>
      <c r="C11" s="49"/>
      <c r="D11" s="49"/>
      <c r="G11" s="77"/>
    </row>
    <row r="12" spans="1:254" s="157" customFormat="1" ht="20.100000000000001" customHeight="1">
      <c r="A12" s="153">
        <v>2019</v>
      </c>
      <c r="B12" s="154">
        <v>136257</v>
      </c>
      <c r="C12" s="155">
        <v>142718</v>
      </c>
      <c r="D12" s="155">
        <v>1660927</v>
      </c>
      <c r="E12" s="155">
        <v>24700</v>
      </c>
      <c r="F12" s="155">
        <v>1200</v>
      </c>
      <c r="G12" s="155">
        <v>0</v>
      </c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6"/>
      <c r="Z12" s="156"/>
      <c r="AA12" s="156"/>
      <c r="AB12" s="156"/>
      <c r="AC12" s="156"/>
      <c r="AD12" s="156"/>
      <c r="AE12" s="156"/>
      <c r="AF12" s="156"/>
      <c r="AG12" s="156"/>
      <c r="AH12" s="156"/>
      <c r="AI12" s="156"/>
      <c r="AJ12" s="156"/>
      <c r="AK12" s="156"/>
      <c r="AL12" s="156"/>
      <c r="AM12" s="156"/>
      <c r="AN12" s="156"/>
      <c r="AO12" s="156"/>
      <c r="AP12" s="156"/>
      <c r="AQ12" s="156"/>
      <c r="AR12" s="156"/>
      <c r="AS12" s="156"/>
      <c r="AT12" s="156"/>
      <c r="AU12" s="156"/>
      <c r="AV12" s="156"/>
      <c r="AW12" s="156"/>
      <c r="AX12" s="156"/>
      <c r="AY12" s="156"/>
      <c r="AZ12" s="156"/>
      <c r="BA12" s="156"/>
      <c r="BB12" s="156"/>
      <c r="BC12" s="156"/>
      <c r="BD12" s="156"/>
      <c r="BE12" s="156"/>
      <c r="BF12" s="156"/>
      <c r="BG12" s="156"/>
      <c r="BH12" s="156"/>
      <c r="BI12" s="156"/>
      <c r="BJ12" s="156"/>
      <c r="BK12" s="156"/>
      <c r="BL12" s="156"/>
      <c r="BM12" s="156"/>
      <c r="BN12" s="156"/>
      <c r="BO12" s="156"/>
      <c r="BP12" s="156"/>
      <c r="BQ12" s="156"/>
      <c r="BR12" s="156"/>
      <c r="BS12" s="156"/>
      <c r="BT12" s="156"/>
      <c r="BU12" s="156"/>
      <c r="BV12" s="156"/>
      <c r="BW12" s="156"/>
      <c r="BX12" s="156"/>
      <c r="BY12" s="156"/>
      <c r="BZ12" s="156"/>
      <c r="CA12" s="156"/>
      <c r="CB12" s="156"/>
      <c r="CC12" s="156"/>
      <c r="CD12" s="156"/>
      <c r="CE12" s="156"/>
      <c r="CF12" s="156"/>
      <c r="CG12" s="156"/>
      <c r="CH12" s="156"/>
      <c r="CI12" s="156"/>
      <c r="CJ12" s="156"/>
      <c r="CK12" s="156"/>
      <c r="CL12" s="156"/>
      <c r="CM12" s="156"/>
      <c r="CN12" s="156"/>
      <c r="CO12" s="156"/>
      <c r="CP12" s="156"/>
      <c r="CQ12" s="156"/>
      <c r="CR12" s="156"/>
      <c r="CS12" s="156"/>
      <c r="CT12" s="156"/>
      <c r="CU12" s="156"/>
      <c r="CV12" s="156"/>
      <c r="CW12" s="156"/>
      <c r="CX12" s="156"/>
      <c r="CY12" s="156"/>
      <c r="CZ12" s="156"/>
      <c r="DA12" s="156"/>
      <c r="DB12" s="156"/>
      <c r="DC12" s="156"/>
      <c r="DD12" s="156"/>
      <c r="DE12" s="156"/>
      <c r="DF12" s="156"/>
      <c r="DG12" s="156"/>
      <c r="DH12" s="156"/>
      <c r="DI12" s="156"/>
      <c r="DJ12" s="156"/>
      <c r="DK12" s="156"/>
      <c r="DL12" s="156"/>
      <c r="DM12" s="156"/>
      <c r="DN12" s="156"/>
      <c r="DO12" s="156"/>
      <c r="DP12" s="156"/>
      <c r="DQ12" s="156"/>
      <c r="DR12" s="156"/>
      <c r="DS12" s="156"/>
      <c r="DT12" s="156"/>
      <c r="DU12" s="156"/>
      <c r="DV12" s="156"/>
      <c r="DW12" s="156"/>
      <c r="DX12" s="156"/>
      <c r="DY12" s="156"/>
      <c r="DZ12" s="156"/>
      <c r="EA12" s="156"/>
      <c r="EB12" s="156"/>
      <c r="EC12" s="156"/>
      <c r="ED12" s="156"/>
      <c r="EE12" s="156"/>
      <c r="EF12" s="156"/>
      <c r="EG12" s="156"/>
      <c r="EH12" s="156"/>
      <c r="EI12" s="156"/>
      <c r="EJ12" s="156"/>
      <c r="EK12" s="156"/>
      <c r="EL12" s="156"/>
      <c r="EM12" s="156"/>
      <c r="EN12" s="156"/>
      <c r="EO12" s="156"/>
      <c r="EP12" s="156"/>
      <c r="EQ12" s="156"/>
      <c r="ER12" s="156"/>
      <c r="ES12" s="156"/>
      <c r="ET12" s="156"/>
      <c r="EU12" s="156"/>
      <c r="EV12" s="156"/>
      <c r="EW12" s="156"/>
      <c r="EX12" s="156"/>
      <c r="EY12" s="156"/>
      <c r="EZ12" s="156"/>
      <c r="FA12" s="156"/>
      <c r="FB12" s="156"/>
      <c r="FC12" s="156"/>
      <c r="FD12" s="156"/>
      <c r="FE12" s="156"/>
      <c r="FF12" s="156"/>
      <c r="FG12" s="156"/>
      <c r="FH12" s="156"/>
      <c r="FI12" s="156"/>
      <c r="FJ12" s="156"/>
      <c r="FK12" s="156"/>
      <c r="FL12" s="156"/>
      <c r="FM12" s="156"/>
      <c r="FN12" s="156"/>
      <c r="FO12" s="156"/>
      <c r="FP12" s="156"/>
      <c r="FQ12" s="156"/>
      <c r="FR12" s="156"/>
      <c r="FS12" s="156"/>
      <c r="FT12" s="156"/>
      <c r="FU12" s="156"/>
      <c r="FV12" s="156"/>
      <c r="FW12" s="156"/>
      <c r="FX12" s="156"/>
      <c r="FY12" s="156"/>
      <c r="FZ12" s="156"/>
      <c r="GA12" s="156"/>
      <c r="GB12" s="156"/>
      <c r="GC12" s="156"/>
      <c r="GD12" s="156"/>
      <c r="GE12" s="156"/>
      <c r="GF12" s="156"/>
      <c r="GG12" s="156"/>
      <c r="GH12" s="156"/>
      <c r="GI12" s="156"/>
      <c r="GJ12" s="156"/>
      <c r="GK12" s="156"/>
      <c r="GL12" s="156"/>
      <c r="GM12" s="156"/>
      <c r="GN12" s="156"/>
      <c r="GO12" s="156"/>
      <c r="GP12" s="156"/>
      <c r="GQ12" s="156"/>
      <c r="GR12" s="156"/>
      <c r="GS12" s="156"/>
      <c r="GT12" s="156"/>
      <c r="GU12" s="156"/>
      <c r="GV12" s="156"/>
      <c r="GW12" s="156"/>
      <c r="GX12" s="156"/>
      <c r="GY12" s="156"/>
      <c r="GZ12" s="156"/>
      <c r="HA12" s="156"/>
      <c r="HB12" s="156"/>
      <c r="HC12" s="156"/>
      <c r="HD12" s="156"/>
      <c r="HE12" s="156"/>
      <c r="HF12" s="156"/>
      <c r="HG12" s="156"/>
      <c r="HH12" s="156"/>
      <c r="HI12" s="156"/>
      <c r="HJ12" s="156"/>
      <c r="HK12" s="156"/>
      <c r="HL12" s="156"/>
      <c r="HM12" s="156"/>
      <c r="HN12" s="156"/>
      <c r="HO12" s="156"/>
      <c r="HP12" s="156"/>
      <c r="HQ12" s="156"/>
      <c r="HR12" s="156"/>
      <c r="HS12" s="156"/>
      <c r="HT12" s="156"/>
      <c r="HU12" s="156"/>
      <c r="HV12" s="156"/>
      <c r="HW12" s="156"/>
      <c r="HX12" s="156"/>
      <c r="HY12" s="156"/>
      <c r="HZ12" s="156"/>
      <c r="IA12" s="156"/>
      <c r="IB12" s="156"/>
      <c r="IC12" s="156"/>
      <c r="ID12" s="156"/>
      <c r="IE12" s="156"/>
      <c r="IF12" s="156"/>
      <c r="IG12" s="156"/>
      <c r="IH12" s="156"/>
      <c r="II12" s="156"/>
      <c r="IJ12" s="156"/>
      <c r="IK12" s="156"/>
      <c r="IL12" s="156"/>
      <c r="IM12" s="156"/>
      <c r="IN12" s="156"/>
      <c r="IO12" s="156"/>
      <c r="IP12" s="156"/>
      <c r="IQ12" s="156"/>
      <c r="IR12" s="156"/>
      <c r="IS12" s="156"/>
      <c r="IT12" s="156"/>
    </row>
    <row r="13" spans="1:254" s="157" customFormat="1" ht="20.100000000000001" customHeight="1">
      <c r="A13" s="153">
        <v>2020</v>
      </c>
      <c r="B13" s="154">
        <v>68555</v>
      </c>
      <c r="C13" s="155">
        <v>69383</v>
      </c>
      <c r="D13" s="155">
        <v>1073303.4129999999</v>
      </c>
      <c r="E13" s="155">
        <v>16700</v>
      </c>
      <c r="F13" s="155">
        <v>750</v>
      </c>
      <c r="G13" s="155">
        <v>0</v>
      </c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56"/>
      <c r="W13" s="156"/>
      <c r="X13" s="156"/>
      <c r="Y13" s="156"/>
      <c r="Z13" s="156"/>
      <c r="AA13" s="156"/>
      <c r="AB13" s="156"/>
      <c r="AC13" s="156"/>
      <c r="AD13" s="156"/>
      <c r="AE13" s="156"/>
      <c r="AF13" s="156"/>
      <c r="AG13" s="156"/>
      <c r="AH13" s="156"/>
      <c r="AI13" s="156"/>
      <c r="AJ13" s="156"/>
      <c r="AK13" s="156"/>
      <c r="AL13" s="156"/>
      <c r="AM13" s="156"/>
      <c r="AN13" s="156"/>
      <c r="AO13" s="156"/>
      <c r="AP13" s="156"/>
      <c r="AQ13" s="156"/>
      <c r="AR13" s="156"/>
      <c r="AS13" s="156"/>
      <c r="AT13" s="156"/>
      <c r="AU13" s="156"/>
      <c r="AV13" s="156"/>
      <c r="AW13" s="156"/>
      <c r="AX13" s="156"/>
      <c r="AY13" s="156"/>
      <c r="AZ13" s="156"/>
      <c r="BA13" s="156"/>
      <c r="BB13" s="156"/>
      <c r="BC13" s="156"/>
      <c r="BD13" s="156"/>
      <c r="BE13" s="156"/>
      <c r="BF13" s="156"/>
      <c r="BG13" s="156"/>
      <c r="BH13" s="156"/>
      <c r="BI13" s="156"/>
      <c r="BJ13" s="156"/>
      <c r="BK13" s="156"/>
      <c r="BL13" s="156"/>
      <c r="BM13" s="156"/>
      <c r="BN13" s="156"/>
      <c r="BO13" s="156"/>
      <c r="BP13" s="156"/>
      <c r="BQ13" s="156"/>
      <c r="BR13" s="156"/>
      <c r="BS13" s="156"/>
      <c r="BT13" s="156"/>
      <c r="BU13" s="156"/>
      <c r="BV13" s="156"/>
      <c r="BW13" s="156"/>
      <c r="BX13" s="156"/>
      <c r="BY13" s="156"/>
      <c r="BZ13" s="156"/>
      <c r="CA13" s="156"/>
      <c r="CB13" s="156"/>
      <c r="CC13" s="156"/>
      <c r="CD13" s="156"/>
      <c r="CE13" s="156"/>
      <c r="CF13" s="156"/>
      <c r="CG13" s="156"/>
      <c r="CH13" s="156"/>
      <c r="CI13" s="156"/>
      <c r="CJ13" s="156"/>
      <c r="CK13" s="156"/>
      <c r="CL13" s="156"/>
      <c r="CM13" s="156"/>
      <c r="CN13" s="156"/>
      <c r="CO13" s="156"/>
      <c r="CP13" s="156"/>
      <c r="CQ13" s="156"/>
      <c r="CR13" s="156"/>
      <c r="CS13" s="156"/>
      <c r="CT13" s="156"/>
      <c r="CU13" s="156"/>
      <c r="CV13" s="156"/>
      <c r="CW13" s="156"/>
      <c r="CX13" s="156"/>
      <c r="CY13" s="156"/>
      <c r="CZ13" s="156"/>
      <c r="DA13" s="156"/>
      <c r="DB13" s="156"/>
      <c r="DC13" s="156"/>
      <c r="DD13" s="156"/>
      <c r="DE13" s="156"/>
      <c r="DF13" s="156"/>
      <c r="DG13" s="156"/>
      <c r="DH13" s="156"/>
      <c r="DI13" s="156"/>
      <c r="DJ13" s="156"/>
      <c r="DK13" s="156"/>
      <c r="DL13" s="156"/>
      <c r="DM13" s="156"/>
      <c r="DN13" s="156"/>
      <c r="DO13" s="156"/>
      <c r="DP13" s="156"/>
      <c r="DQ13" s="156"/>
      <c r="DR13" s="156"/>
      <c r="DS13" s="156"/>
      <c r="DT13" s="156"/>
      <c r="DU13" s="156"/>
      <c r="DV13" s="156"/>
      <c r="DW13" s="156"/>
      <c r="DX13" s="156"/>
      <c r="DY13" s="156"/>
      <c r="DZ13" s="156"/>
      <c r="EA13" s="156"/>
      <c r="EB13" s="156"/>
      <c r="EC13" s="156"/>
      <c r="ED13" s="156"/>
      <c r="EE13" s="156"/>
      <c r="EF13" s="156"/>
      <c r="EG13" s="156"/>
      <c r="EH13" s="156"/>
      <c r="EI13" s="156"/>
      <c r="EJ13" s="156"/>
      <c r="EK13" s="156"/>
      <c r="EL13" s="156"/>
      <c r="EM13" s="156"/>
      <c r="EN13" s="156"/>
      <c r="EO13" s="156"/>
      <c r="EP13" s="156"/>
      <c r="EQ13" s="156"/>
      <c r="ER13" s="156"/>
      <c r="ES13" s="156"/>
      <c r="ET13" s="156"/>
      <c r="EU13" s="156"/>
      <c r="EV13" s="156"/>
      <c r="EW13" s="156"/>
      <c r="EX13" s="156"/>
      <c r="EY13" s="156"/>
      <c r="EZ13" s="156"/>
      <c r="FA13" s="156"/>
      <c r="FB13" s="156"/>
      <c r="FC13" s="156"/>
      <c r="FD13" s="156"/>
      <c r="FE13" s="156"/>
      <c r="FF13" s="156"/>
      <c r="FG13" s="156"/>
      <c r="FH13" s="156"/>
      <c r="FI13" s="156"/>
      <c r="FJ13" s="156"/>
      <c r="FK13" s="156"/>
      <c r="FL13" s="156"/>
      <c r="FM13" s="156"/>
      <c r="FN13" s="156"/>
      <c r="FO13" s="156"/>
      <c r="FP13" s="156"/>
      <c r="FQ13" s="156"/>
      <c r="FR13" s="156"/>
      <c r="FS13" s="156"/>
      <c r="FT13" s="156"/>
      <c r="FU13" s="156"/>
      <c r="FV13" s="156"/>
      <c r="FW13" s="156"/>
      <c r="FX13" s="156"/>
      <c r="FY13" s="156"/>
      <c r="FZ13" s="156"/>
      <c r="GA13" s="156"/>
      <c r="GB13" s="156"/>
      <c r="GC13" s="156"/>
      <c r="GD13" s="156"/>
      <c r="GE13" s="156"/>
      <c r="GF13" s="156"/>
      <c r="GG13" s="156"/>
      <c r="GH13" s="156"/>
      <c r="GI13" s="156"/>
      <c r="GJ13" s="156"/>
      <c r="GK13" s="156"/>
      <c r="GL13" s="156"/>
      <c r="GM13" s="156"/>
      <c r="GN13" s="156"/>
      <c r="GO13" s="156"/>
      <c r="GP13" s="156"/>
      <c r="GQ13" s="156"/>
      <c r="GR13" s="156"/>
      <c r="GS13" s="156"/>
      <c r="GT13" s="156"/>
      <c r="GU13" s="156"/>
      <c r="GV13" s="156"/>
      <c r="GW13" s="156"/>
      <c r="GX13" s="156"/>
      <c r="GY13" s="156"/>
      <c r="GZ13" s="156"/>
      <c r="HA13" s="156"/>
      <c r="HB13" s="156"/>
      <c r="HC13" s="156"/>
      <c r="HD13" s="156"/>
      <c r="HE13" s="156"/>
      <c r="HF13" s="156"/>
      <c r="HG13" s="156"/>
      <c r="HH13" s="156"/>
      <c r="HI13" s="156"/>
      <c r="HJ13" s="156"/>
      <c r="HK13" s="156"/>
      <c r="HL13" s="156"/>
      <c r="HM13" s="156"/>
      <c r="HN13" s="156"/>
      <c r="HO13" s="156"/>
      <c r="HP13" s="156"/>
      <c r="HQ13" s="156"/>
      <c r="HR13" s="156"/>
      <c r="HS13" s="156"/>
      <c r="HT13" s="156"/>
      <c r="HU13" s="156"/>
      <c r="HV13" s="156"/>
      <c r="HW13" s="156"/>
      <c r="HX13" s="156"/>
      <c r="HY13" s="156"/>
      <c r="HZ13" s="156"/>
      <c r="IA13" s="156"/>
      <c r="IB13" s="156"/>
      <c r="IC13" s="156"/>
      <c r="ID13" s="156"/>
      <c r="IE13" s="156"/>
      <c r="IF13" s="156"/>
      <c r="IG13" s="156"/>
      <c r="IH13" s="156"/>
      <c r="II13" s="156"/>
      <c r="IJ13" s="156"/>
      <c r="IK13" s="156"/>
      <c r="IL13" s="156"/>
      <c r="IM13" s="156"/>
      <c r="IN13" s="156"/>
      <c r="IO13" s="156"/>
      <c r="IP13" s="156"/>
      <c r="IQ13" s="156"/>
      <c r="IR13" s="156"/>
      <c r="IS13" s="156"/>
      <c r="IT13" s="156"/>
    </row>
    <row r="14" spans="1:254" s="157" customFormat="1" ht="20.100000000000001" customHeight="1">
      <c r="A14" s="153">
        <v>2021</v>
      </c>
      <c r="B14" s="154">
        <v>74863</v>
      </c>
      <c r="C14" s="155">
        <v>74573</v>
      </c>
      <c r="D14" s="155">
        <f>1172986990/1000</f>
        <v>1172986.99</v>
      </c>
      <c r="E14" s="155">
        <v>16700</v>
      </c>
      <c r="F14" s="155">
        <v>750</v>
      </c>
      <c r="G14" s="155">
        <v>0</v>
      </c>
      <c r="H14" s="158"/>
      <c r="I14" s="158"/>
      <c r="J14" s="158"/>
      <c r="K14" s="158"/>
      <c r="L14" s="158"/>
      <c r="M14" s="158"/>
      <c r="N14" s="158"/>
      <c r="O14" s="158"/>
      <c r="P14" s="158"/>
      <c r="Q14" s="158"/>
      <c r="R14" s="158"/>
      <c r="S14" s="158"/>
      <c r="T14" s="158"/>
      <c r="U14" s="158"/>
      <c r="V14" s="158"/>
      <c r="W14" s="158"/>
      <c r="X14" s="158"/>
      <c r="Y14" s="158"/>
      <c r="Z14" s="158"/>
      <c r="AA14" s="158"/>
      <c r="AB14" s="158"/>
      <c r="AC14" s="158"/>
      <c r="AD14" s="158"/>
      <c r="AE14" s="158"/>
      <c r="AF14" s="158"/>
      <c r="AG14" s="158"/>
      <c r="AH14" s="158"/>
      <c r="AI14" s="158"/>
      <c r="AJ14" s="158"/>
      <c r="AK14" s="158"/>
      <c r="AL14" s="158"/>
      <c r="AM14" s="158"/>
      <c r="AN14" s="158"/>
      <c r="AO14" s="158"/>
      <c r="AP14" s="158"/>
      <c r="AQ14" s="158"/>
      <c r="AR14" s="158"/>
      <c r="AS14" s="158"/>
      <c r="AT14" s="158"/>
      <c r="AU14" s="158"/>
      <c r="AV14" s="158"/>
      <c r="AW14" s="158"/>
      <c r="AX14" s="158"/>
      <c r="AY14" s="158"/>
      <c r="AZ14" s="158"/>
      <c r="BA14" s="158"/>
      <c r="BB14" s="158"/>
      <c r="BC14" s="158"/>
      <c r="BD14" s="158"/>
      <c r="BE14" s="158"/>
      <c r="BF14" s="158"/>
      <c r="BG14" s="158"/>
      <c r="BH14" s="158"/>
      <c r="BI14" s="158"/>
      <c r="BJ14" s="158"/>
      <c r="BK14" s="158"/>
      <c r="BL14" s="158"/>
      <c r="BM14" s="158"/>
      <c r="BN14" s="158"/>
      <c r="BO14" s="158"/>
      <c r="BP14" s="158"/>
      <c r="BQ14" s="158"/>
      <c r="BR14" s="158"/>
      <c r="BS14" s="158"/>
      <c r="BT14" s="158"/>
      <c r="BU14" s="158"/>
      <c r="BV14" s="158"/>
      <c r="BW14" s="158"/>
      <c r="BX14" s="158"/>
      <c r="BY14" s="158"/>
      <c r="BZ14" s="158"/>
      <c r="CA14" s="158"/>
      <c r="CB14" s="158"/>
      <c r="CC14" s="158"/>
      <c r="CD14" s="158"/>
      <c r="CE14" s="158"/>
      <c r="CF14" s="158"/>
      <c r="CG14" s="158"/>
      <c r="CH14" s="158"/>
      <c r="CI14" s="158"/>
      <c r="CJ14" s="158"/>
      <c r="CK14" s="158"/>
      <c r="CL14" s="158"/>
      <c r="CM14" s="158"/>
      <c r="CN14" s="158"/>
      <c r="CO14" s="158"/>
      <c r="CP14" s="158"/>
      <c r="CQ14" s="158"/>
      <c r="CR14" s="158"/>
      <c r="CS14" s="158"/>
      <c r="CT14" s="158"/>
      <c r="CU14" s="158"/>
      <c r="CV14" s="158"/>
      <c r="CW14" s="158"/>
      <c r="CX14" s="158"/>
      <c r="CY14" s="158"/>
      <c r="CZ14" s="158"/>
      <c r="DA14" s="158"/>
      <c r="DB14" s="158"/>
      <c r="DC14" s="158"/>
      <c r="DD14" s="158"/>
      <c r="DE14" s="158"/>
      <c r="DF14" s="158"/>
      <c r="DG14" s="158"/>
      <c r="DH14" s="158"/>
      <c r="DI14" s="158"/>
      <c r="DJ14" s="158"/>
      <c r="DK14" s="158"/>
      <c r="DL14" s="158"/>
      <c r="DM14" s="158"/>
      <c r="DN14" s="158"/>
      <c r="DO14" s="158"/>
      <c r="DP14" s="158"/>
      <c r="DQ14" s="158"/>
      <c r="DR14" s="158"/>
      <c r="DS14" s="158"/>
      <c r="DT14" s="158"/>
      <c r="DU14" s="158"/>
      <c r="DV14" s="158"/>
      <c r="DW14" s="158"/>
      <c r="DX14" s="158"/>
      <c r="DY14" s="158"/>
      <c r="DZ14" s="158"/>
      <c r="EA14" s="158"/>
      <c r="EB14" s="158"/>
      <c r="EC14" s="158"/>
      <c r="ED14" s="158"/>
      <c r="EE14" s="158"/>
      <c r="EF14" s="158"/>
      <c r="EG14" s="158"/>
      <c r="EH14" s="158"/>
      <c r="EI14" s="158"/>
      <c r="EJ14" s="158"/>
      <c r="EK14" s="158"/>
      <c r="EL14" s="158"/>
      <c r="EM14" s="158"/>
      <c r="EN14" s="158"/>
      <c r="EO14" s="158"/>
      <c r="EP14" s="158"/>
      <c r="EQ14" s="158"/>
      <c r="ER14" s="158"/>
      <c r="ES14" s="158"/>
      <c r="ET14" s="158"/>
      <c r="EU14" s="158"/>
      <c r="EV14" s="158"/>
      <c r="EW14" s="158"/>
      <c r="EX14" s="158"/>
      <c r="EY14" s="158"/>
      <c r="EZ14" s="158"/>
      <c r="FA14" s="158"/>
      <c r="FB14" s="158"/>
      <c r="FC14" s="158"/>
      <c r="FD14" s="158"/>
      <c r="FE14" s="158"/>
      <c r="FF14" s="158"/>
      <c r="FG14" s="158"/>
      <c r="FH14" s="158"/>
      <c r="FI14" s="158"/>
      <c r="FJ14" s="158"/>
      <c r="FK14" s="158"/>
      <c r="FL14" s="158"/>
      <c r="FM14" s="158"/>
      <c r="FN14" s="158"/>
      <c r="FO14" s="158"/>
      <c r="FP14" s="158"/>
      <c r="FQ14" s="158"/>
      <c r="FR14" s="158"/>
      <c r="FS14" s="158"/>
      <c r="FT14" s="158"/>
      <c r="FU14" s="158"/>
      <c r="FV14" s="158"/>
      <c r="FW14" s="158"/>
      <c r="FX14" s="158"/>
      <c r="FY14" s="158"/>
      <c r="FZ14" s="158"/>
      <c r="GA14" s="158"/>
      <c r="GB14" s="158"/>
      <c r="GC14" s="158"/>
      <c r="GD14" s="158"/>
      <c r="GE14" s="158"/>
      <c r="GF14" s="158"/>
      <c r="GG14" s="158"/>
      <c r="GH14" s="158"/>
      <c r="GI14" s="158"/>
      <c r="GJ14" s="158"/>
      <c r="GK14" s="158"/>
      <c r="GL14" s="158"/>
      <c r="GM14" s="158"/>
      <c r="GN14" s="158"/>
      <c r="GO14" s="158"/>
      <c r="GP14" s="158"/>
      <c r="GQ14" s="158"/>
      <c r="GR14" s="158"/>
      <c r="GS14" s="158"/>
      <c r="GT14" s="158"/>
      <c r="GU14" s="158"/>
      <c r="GV14" s="158"/>
      <c r="GW14" s="158"/>
      <c r="GX14" s="158"/>
      <c r="GY14" s="158"/>
      <c r="GZ14" s="158"/>
      <c r="HA14" s="158"/>
      <c r="HB14" s="158"/>
      <c r="HC14" s="158"/>
      <c r="HD14" s="158"/>
      <c r="HE14" s="158"/>
      <c r="HF14" s="158"/>
      <c r="HG14" s="158"/>
      <c r="HH14" s="158"/>
      <c r="HI14" s="158"/>
      <c r="HJ14" s="158"/>
      <c r="HK14" s="158"/>
      <c r="HL14" s="158"/>
      <c r="HM14" s="158"/>
      <c r="HN14" s="158"/>
      <c r="HO14" s="158"/>
      <c r="HP14" s="158"/>
      <c r="HQ14" s="158"/>
      <c r="HR14" s="158"/>
      <c r="HS14" s="158"/>
      <c r="HT14" s="158"/>
      <c r="HU14" s="158"/>
      <c r="HV14" s="158"/>
      <c r="HW14" s="158"/>
      <c r="HX14" s="158"/>
      <c r="HY14" s="158"/>
      <c r="HZ14" s="158"/>
      <c r="IA14" s="158"/>
      <c r="IB14" s="158"/>
      <c r="IC14" s="158"/>
      <c r="ID14" s="158"/>
      <c r="IE14" s="158"/>
      <c r="IF14" s="158"/>
      <c r="IG14" s="158"/>
      <c r="IH14" s="158"/>
      <c r="II14" s="158"/>
      <c r="IJ14" s="158"/>
      <c r="IK14" s="158"/>
      <c r="IL14" s="158"/>
      <c r="IM14" s="158"/>
      <c r="IN14" s="158"/>
      <c r="IO14" s="158"/>
      <c r="IP14" s="158"/>
      <c r="IQ14" s="158"/>
      <c r="IR14" s="158"/>
      <c r="IS14" s="158"/>
      <c r="IT14" s="158"/>
    </row>
    <row r="15" spans="1:254" s="157" customFormat="1" ht="20.100000000000001" customHeight="1">
      <c r="A15" s="153">
        <v>2022</v>
      </c>
      <c r="B15" s="154">
        <v>110472</v>
      </c>
      <c r="C15" s="155">
        <v>113552</v>
      </c>
      <c r="D15" s="155">
        <v>1546635</v>
      </c>
      <c r="E15" s="155">
        <v>15550</v>
      </c>
      <c r="F15" s="155">
        <v>250</v>
      </c>
      <c r="G15" s="155">
        <v>0</v>
      </c>
      <c r="H15" s="158"/>
      <c r="I15" s="158"/>
      <c r="J15" s="158"/>
      <c r="K15" s="158"/>
      <c r="L15" s="158"/>
      <c r="M15" s="158"/>
      <c r="N15" s="158"/>
      <c r="O15" s="158"/>
      <c r="P15" s="158"/>
      <c r="Q15" s="158"/>
      <c r="R15" s="158"/>
      <c r="S15" s="158"/>
      <c r="T15" s="158"/>
      <c r="U15" s="158"/>
      <c r="V15" s="158"/>
      <c r="W15" s="158"/>
      <c r="X15" s="158"/>
      <c r="Y15" s="158"/>
      <c r="Z15" s="158"/>
      <c r="AA15" s="158"/>
      <c r="AB15" s="158"/>
      <c r="AC15" s="158"/>
      <c r="AD15" s="158"/>
      <c r="AE15" s="158"/>
      <c r="AF15" s="158"/>
      <c r="AG15" s="158"/>
      <c r="AH15" s="158"/>
      <c r="AI15" s="158"/>
      <c r="AJ15" s="158"/>
      <c r="AK15" s="158"/>
      <c r="AL15" s="158"/>
      <c r="AM15" s="158"/>
      <c r="AN15" s="158"/>
      <c r="AO15" s="158"/>
      <c r="AP15" s="158"/>
      <c r="AQ15" s="158"/>
      <c r="AR15" s="158"/>
      <c r="AS15" s="158"/>
      <c r="AT15" s="158"/>
      <c r="AU15" s="158"/>
      <c r="AV15" s="158"/>
      <c r="AW15" s="158"/>
      <c r="AX15" s="158"/>
      <c r="AY15" s="158"/>
      <c r="AZ15" s="158"/>
      <c r="BA15" s="158"/>
      <c r="BB15" s="158"/>
      <c r="BC15" s="158"/>
      <c r="BD15" s="158"/>
      <c r="BE15" s="158"/>
      <c r="BF15" s="158"/>
      <c r="BG15" s="158"/>
      <c r="BH15" s="158"/>
      <c r="BI15" s="158"/>
      <c r="BJ15" s="158"/>
      <c r="BK15" s="158"/>
      <c r="BL15" s="158"/>
      <c r="BM15" s="158"/>
      <c r="BN15" s="158"/>
      <c r="BO15" s="158"/>
      <c r="BP15" s="158"/>
      <c r="BQ15" s="158"/>
      <c r="BR15" s="158"/>
      <c r="BS15" s="158"/>
      <c r="BT15" s="158"/>
      <c r="BU15" s="158"/>
      <c r="BV15" s="158"/>
      <c r="BW15" s="158"/>
      <c r="BX15" s="158"/>
      <c r="BY15" s="158"/>
      <c r="BZ15" s="158"/>
      <c r="CA15" s="158"/>
      <c r="CB15" s="158"/>
      <c r="CC15" s="158"/>
      <c r="CD15" s="158"/>
      <c r="CE15" s="158"/>
      <c r="CF15" s="158"/>
      <c r="CG15" s="158"/>
      <c r="CH15" s="158"/>
      <c r="CI15" s="158"/>
      <c r="CJ15" s="158"/>
      <c r="CK15" s="158"/>
      <c r="CL15" s="158"/>
      <c r="CM15" s="158"/>
      <c r="CN15" s="158"/>
      <c r="CO15" s="158"/>
      <c r="CP15" s="158"/>
      <c r="CQ15" s="158"/>
      <c r="CR15" s="158"/>
      <c r="CS15" s="158"/>
      <c r="CT15" s="158"/>
      <c r="CU15" s="158"/>
      <c r="CV15" s="158"/>
      <c r="CW15" s="158"/>
      <c r="CX15" s="158"/>
      <c r="CY15" s="158"/>
      <c r="CZ15" s="158"/>
      <c r="DA15" s="158"/>
      <c r="DB15" s="158"/>
      <c r="DC15" s="158"/>
      <c r="DD15" s="158"/>
      <c r="DE15" s="158"/>
      <c r="DF15" s="158"/>
      <c r="DG15" s="158"/>
      <c r="DH15" s="158"/>
      <c r="DI15" s="158"/>
      <c r="DJ15" s="158"/>
      <c r="DK15" s="158"/>
      <c r="DL15" s="158"/>
      <c r="DM15" s="158"/>
      <c r="DN15" s="158"/>
      <c r="DO15" s="158"/>
      <c r="DP15" s="158"/>
      <c r="DQ15" s="158"/>
      <c r="DR15" s="158"/>
      <c r="DS15" s="158"/>
      <c r="DT15" s="158"/>
      <c r="DU15" s="158"/>
      <c r="DV15" s="158"/>
      <c r="DW15" s="158"/>
      <c r="DX15" s="158"/>
      <c r="DY15" s="158"/>
      <c r="DZ15" s="158"/>
      <c r="EA15" s="158"/>
      <c r="EB15" s="158"/>
      <c r="EC15" s="158"/>
      <c r="ED15" s="158"/>
      <c r="EE15" s="158"/>
      <c r="EF15" s="158"/>
      <c r="EG15" s="158"/>
      <c r="EH15" s="158"/>
      <c r="EI15" s="158"/>
      <c r="EJ15" s="158"/>
      <c r="EK15" s="158"/>
      <c r="EL15" s="158"/>
      <c r="EM15" s="158"/>
      <c r="EN15" s="158"/>
      <c r="EO15" s="158"/>
      <c r="EP15" s="158"/>
      <c r="EQ15" s="158"/>
      <c r="ER15" s="158"/>
      <c r="ES15" s="158"/>
      <c r="ET15" s="158"/>
      <c r="EU15" s="158"/>
      <c r="EV15" s="158"/>
      <c r="EW15" s="158"/>
      <c r="EX15" s="158"/>
      <c r="EY15" s="158"/>
      <c r="EZ15" s="158"/>
      <c r="FA15" s="158"/>
      <c r="FB15" s="158"/>
      <c r="FC15" s="158"/>
      <c r="FD15" s="158"/>
      <c r="FE15" s="158"/>
      <c r="FF15" s="158"/>
      <c r="FG15" s="158"/>
      <c r="FH15" s="158"/>
      <c r="FI15" s="158"/>
      <c r="FJ15" s="158"/>
      <c r="FK15" s="158"/>
      <c r="FL15" s="158"/>
      <c r="FM15" s="158"/>
      <c r="FN15" s="158"/>
      <c r="FO15" s="158"/>
      <c r="FP15" s="158"/>
      <c r="FQ15" s="158"/>
      <c r="FR15" s="158"/>
      <c r="FS15" s="158"/>
      <c r="FT15" s="158"/>
      <c r="FU15" s="158"/>
      <c r="FV15" s="158"/>
      <c r="FW15" s="158"/>
      <c r="FX15" s="158"/>
      <c r="FY15" s="158"/>
      <c r="FZ15" s="158"/>
      <c r="GA15" s="158"/>
      <c r="GB15" s="158"/>
      <c r="GC15" s="158"/>
      <c r="GD15" s="158"/>
      <c r="GE15" s="158"/>
      <c r="GF15" s="158"/>
      <c r="GG15" s="158"/>
      <c r="GH15" s="158"/>
      <c r="GI15" s="158"/>
      <c r="GJ15" s="158"/>
      <c r="GK15" s="158"/>
      <c r="GL15" s="158"/>
      <c r="GM15" s="158"/>
      <c r="GN15" s="158"/>
      <c r="GO15" s="158"/>
      <c r="GP15" s="158"/>
      <c r="GQ15" s="158"/>
      <c r="GR15" s="158"/>
      <c r="GS15" s="158"/>
      <c r="GT15" s="158"/>
      <c r="GU15" s="158"/>
      <c r="GV15" s="158"/>
      <c r="GW15" s="158"/>
      <c r="GX15" s="158"/>
      <c r="GY15" s="158"/>
      <c r="GZ15" s="158"/>
      <c r="HA15" s="158"/>
      <c r="HB15" s="158"/>
      <c r="HC15" s="158"/>
      <c r="HD15" s="158"/>
      <c r="HE15" s="158"/>
      <c r="HF15" s="158"/>
      <c r="HG15" s="158"/>
      <c r="HH15" s="158"/>
      <c r="HI15" s="158"/>
      <c r="HJ15" s="158"/>
      <c r="HK15" s="158"/>
      <c r="HL15" s="158"/>
      <c r="HM15" s="158"/>
      <c r="HN15" s="158"/>
      <c r="HO15" s="158"/>
      <c r="HP15" s="158"/>
      <c r="HQ15" s="158"/>
      <c r="HR15" s="158"/>
      <c r="HS15" s="158"/>
      <c r="HT15" s="158"/>
      <c r="HU15" s="158"/>
      <c r="HV15" s="158"/>
      <c r="HW15" s="158"/>
      <c r="HX15" s="158"/>
      <c r="HY15" s="158"/>
      <c r="HZ15" s="158"/>
      <c r="IA15" s="158"/>
      <c r="IB15" s="158"/>
      <c r="IC15" s="158"/>
      <c r="ID15" s="158"/>
      <c r="IE15" s="158"/>
      <c r="IF15" s="158"/>
      <c r="IG15" s="158"/>
      <c r="IH15" s="158"/>
      <c r="II15" s="158"/>
      <c r="IJ15" s="158"/>
      <c r="IK15" s="158"/>
      <c r="IL15" s="158"/>
      <c r="IM15" s="158"/>
      <c r="IN15" s="158"/>
      <c r="IO15" s="158"/>
      <c r="IP15" s="158"/>
      <c r="IQ15" s="158"/>
      <c r="IR15" s="158"/>
      <c r="IS15" s="158"/>
      <c r="IT15" s="158"/>
    </row>
    <row r="16" spans="1:254" s="157" customFormat="1" ht="20.100000000000001" customHeight="1">
      <c r="A16" s="159">
        <v>2023</v>
      </c>
      <c r="B16" s="160">
        <f>SUM(B18:B29)</f>
        <v>113064</v>
      </c>
      <c r="C16" s="161">
        <f>SUM(C18:C29)</f>
        <v>117978</v>
      </c>
      <c r="D16" s="161">
        <f>SUM(D18:D29)</f>
        <v>1667128</v>
      </c>
      <c r="E16" s="161">
        <f t="shared" ref="E16:F16" si="0">SUM(E18:E29)</f>
        <v>14650</v>
      </c>
      <c r="F16" s="161">
        <f t="shared" si="0"/>
        <v>800</v>
      </c>
      <c r="G16" s="161">
        <v>0</v>
      </c>
      <c r="H16" s="162"/>
      <c r="I16" s="162"/>
      <c r="J16" s="162"/>
      <c r="K16" s="162"/>
      <c r="L16" s="162"/>
      <c r="M16" s="162"/>
      <c r="N16" s="162"/>
      <c r="O16" s="162"/>
      <c r="P16" s="162"/>
      <c r="Q16" s="162"/>
      <c r="R16" s="162"/>
      <c r="S16" s="162"/>
      <c r="T16" s="162"/>
      <c r="U16" s="162"/>
      <c r="V16" s="162"/>
      <c r="W16" s="162"/>
      <c r="X16" s="162"/>
      <c r="Y16" s="162"/>
      <c r="Z16" s="162"/>
      <c r="AA16" s="162"/>
      <c r="AB16" s="162"/>
      <c r="AC16" s="162"/>
      <c r="AD16" s="162"/>
      <c r="AE16" s="162"/>
      <c r="AF16" s="162"/>
      <c r="AG16" s="162"/>
      <c r="AH16" s="162"/>
      <c r="AI16" s="162"/>
      <c r="AJ16" s="162"/>
      <c r="AK16" s="162"/>
      <c r="AL16" s="162"/>
      <c r="AM16" s="162"/>
      <c r="AN16" s="162"/>
      <c r="AO16" s="162"/>
      <c r="AP16" s="162"/>
      <c r="AQ16" s="162"/>
      <c r="AR16" s="162"/>
      <c r="AS16" s="162"/>
      <c r="AT16" s="162"/>
      <c r="AU16" s="162"/>
      <c r="AV16" s="162"/>
      <c r="AW16" s="162"/>
      <c r="AX16" s="162"/>
      <c r="AY16" s="162"/>
      <c r="AZ16" s="162"/>
      <c r="BA16" s="162"/>
      <c r="BB16" s="162"/>
      <c r="BC16" s="162"/>
      <c r="BD16" s="162"/>
      <c r="BE16" s="162"/>
      <c r="BF16" s="162"/>
      <c r="BG16" s="162"/>
      <c r="BH16" s="162"/>
      <c r="BI16" s="162"/>
      <c r="BJ16" s="162"/>
      <c r="BK16" s="162"/>
      <c r="BL16" s="162"/>
      <c r="BM16" s="162"/>
      <c r="BN16" s="162"/>
      <c r="BO16" s="162"/>
      <c r="BP16" s="162"/>
      <c r="BQ16" s="162"/>
      <c r="BR16" s="162"/>
      <c r="BS16" s="162"/>
      <c r="BT16" s="162"/>
      <c r="BU16" s="162"/>
      <c r="BV16" s="162"/>
      <c r="BW16" s="162"/>
      <c r="BX16" s="162"/>
      <c r="BY16" s="162"/>
      <c r="BZ16" s="162"/>
      <c r="CA16" s="162"/>
      <c r="CB16" s="162"/>
      <c r="CC16" s="162"/>
      <c r="CD16" s="162"/>
      <c r="CE16" s="162"/>
      <c r="CF16" s="162"/>
      <c r="CG16" s="162"/>
      <c r="CH16" s="162"/>
      <c r="CI16" s="162"/>
      <c r="CJ16" s="162"/>
      <c r="CK16" s="162"/>
      <c r="CL16" s="162"/>
      <c r="CM16" s="162"/>
      <c r="CN16" s="162"/>
      <c r="CO16" s="162"/>
      <c r="CP16" s="162"/>
      <c r="CQ16" s="162"/>
      <c r="CR16" s="162"/>
      <c r="CS16" s="162"/>
      <c r="CT16" s="162"/>
      <c r="CU16" s="162"/>
      <c r="CV16" s="162"/>
      <c r="CW16" s="162"/>
      <c r="CX16" s="162"/>
      <c r="CY16" s="162"/>
      <c r="CZ16" s="162"/>
      <c r="DA16" s="162"/>
      <c r="DB16" s="162"/>
      <c r="DC16" s="162"/>
      <c r="DD16" s="162"/>
      <c r="DE16" s="162"/>
      <c r="DF16" s="162"/>
      <c r="DG16" s="162"/>
      <c r="DH16" s="162"/>
      <c r="DI16" s="162"/>
      <c r="DJ16" s="162"/>
      <c r="DK16" s="162"/>
      <c r="DL16" s="162"/>
      <c r="DM16" s="162"/>
      <c r="DN16" s="162"/>
      <c r="DO16" s="162"/>
      <c r="DP16" s="162"/>
      <c r="DQ16" s="162"/>
      <c r="DR16" s="162"/>
      <c r="DS16" s="162"/>
      <c r="DT16" s="162"/>
      <c r="DU16" s="162"/>
      <c r="DV16" s="162"/>
      <c r="DW16" s="162"/>
      <c r="DX16" s="162"/>
      <c r="DY16" s="162"/>
      <c r="DZ16" s="162"/>
      <c r="EA16" s="162"/>
      <c r="EB16" s="162"/>
      <c r="EC16" s="162"/>
      <c r="ED16" s="162"/>
      <c r="EE16" s="162"/>
      <c r="EF16" s="162"/>
      <c r="EG16" s="162"/>
      <c r="EH16" s="162"/>
      <c r="EI16" s="162"/>
      <c r="EJ16" s="162"/>
      <c r="EK16" s="162"/>
      <c r="EL16" s="162"/>
      <c r="EM16" s="162"/>
      <c r="EN16" s="162"/>
      <c r="EO16" s="162"/>
      <c r="EP16" s="162"/>
      <c r="EQ16" s="162"/>
      <c r="ER16" s="162"/>
      <c r="ES16" s="162"/>
      <c r="ET16" s="162"/>
      <c r="EU16" s="162"/>
      <c r="EV16" s="162"/>
      <c r="EW16" s="162"/>
      <c r="EX16" s="162"/>
      <c r="EY16" s="162"/>
      <c r="EZ16" s="162"/>
      <c r="FA16" s="162"/>
      <c r="FB16" s="162"/>
      <c r="FC16" s="162"/>
      <c r="FD16" s="162"/>
      <c r="FE16" s="162"/>
      <c r="FF16" s="162"/>
      <c r="FG16" s="162"/>
      <c r="FH16" s="162"/>
      <c r="FI16" s="162"/>
      <c r="FJ16" s="162"/>
      <c r="FK16" s="162"/>
      <c r="FL16" s="162"/>
      <c r="FM16" s="162"/>
      <c r="FN16" s="162"/>
      <c r="FO16" s="162"/>
      <c r="FP16" s="162"/>
      <c r="FQ16" s="162"/>
      <c r="FR16" s="162"/>
      <c r="FS16" s="162"/>
      <c r="FT16" s="162"/>
      <c r="FU16" s="162"/>
      <c r="FV16" s="162"/>
      <c r="FW16" s="162"/>
      <c r="FX16" s="162"/>
      <c r="FY16" s="162"/>
      <c r="FZ16" s="162"/>
      <c r="GA16" s="162"/>
      <c r="GB16" s="162"/>
      <c r="GC16" s="162"/>
      <c r="GD16" s="162"/>
      <c r="GE16" s="162"/>
      <c r="GF16" s="162"/>
      <c r="GG16" s="162"/>
      <c r="GH16" s="162"/>
      <c r="GI16" s="162"/>
      <c r="GJ16" s="162"/>
      <c r="GK16" s="162"/>
      <c r="GL16" s="162"/>
      <c r="GM16" s="162"/>
      <c r="GN16" s="162"/>
      <c r="GO16" s="162"/>
      <c r="GP16" s="162"/>
      <c r="GQ16" s="162"/>
      <c r="GR16" s="162"/>
      <c r="GS16" s="162"/>
      <c r="GT16" s="162"/>
      <c r="GU16" s="162"/>
      <c r="GV16" s="162"/>
      <c r="GW16" s="162"/>
      <c r="GX16" s="162"/>
      <c r="GY16" s="162"/>
      <c r="GZ16" s="162"/>
      <c r="HA16" s="162"/>
      <c r="HB16" s="162"/>
      <c r="HC16" s="162"/>
      <c r="HD16" s="162"/>
      <c r="HE16" s="162"/>
      <c r="HF16" s="162"/>
      <c r="HG16" s="162"/>
      <c r="HH16" s="162"/>
      <c r="HI16" s="162"/>
      <c r="HJ16" s="162"/>
      <c r="HK16" s="162"/>
      <c r="HL16" s="162"/>
      <c r="HM16" s="162"/>
      <c r="HN16" s="162"/>
      <c r="HO16" s="162"/>
      <c r="HP16" s="162"/>
      <c r="HQ16" s="162"/>
      <c r="HR16" s="162"/>
      <c r="HS16" s="162"/>
      <c r="HT16" s="162"/>
      <c r="HU16" s="162"/>
      <c r="HV16" s="162"/>
      <c r="HW16" s="162"/>
      <c r="HX16" s="162"/>
      <c r="HY16" s="162"/>
      <c r="HZ16" s="162"/>
      <c r="IA16" s="162"/>
      <c r="IB16" s="162"/>
      <c r="IC16" s="162"/>
      <c r="ID16" s="162"/>
      <c r="IE16" s="162"/>
      <c r="IF16" s="162"/>
      <c r="IG16" s="162"/>
      <c r="IH16" s="162"/>
      <c r="II16" s="162"/>
      <c r="IJ16" s="162"/>
      <c r="IK16" s="162"/>
      <c r="IL16" s="162"/>
      <c r="IM16" s="162"/>
      <c r="IN16" s="162"/>
      <c r="IO16" s="162"/>
      <c r="IP16" s="162"/>
      <c r="IQ16" s="162"/>
      <c r="IR16" s="162"/>
      <c r="IS16" s="162"/>
      <c r="IT16" s="162"/>
    </row>
    <row r="17" spans="1:7" s="157" customFormat="1" ht="20.100000000000001" customHeight="1">
      <c r="A17" s="163"/>
      <c r="B17" s="164"/>
      <c r="C17" s="165"/>
      <c r="D17" s="165"/>
      <c r="E17" s="165"/>
      <c r="F17" s="165"/>
      <c r="G17" s="166"/>
    </row>
    <row r="18" spans="1:7" s="157" customFormat="1" ht="20.100000000000001" customHeight="1">
      <c r="A18" s="167" t="s">
        <v>184</v>
      </c>
      <c r="B18" s="318">
        <v>7447</v>
      </c>
      <c r="C18" s="318">
        <v>7506</v>
      </c>
      <c r="D18" s="319">
        <v>141452</v>
      </c>
      <c r="E18" s="168">
        <v>750</v>
      </c>
      <c r="F18" s="169">
        <v>0</v>
      </c>
      <c r="G18" s="170"/>
    </row>
    <row r="19" spans="1:7" s="157" customFormat="1" ht="20.100000000000001" customHeight="1">
      <c r="A19" s="167" t="s">
        <v>183</v>
      </c>
      <c r="B19" s="318">
        <v>6823</v>
      </c>
      <c r="C19" s="318">
        <v>6858</v>
      </c>
      <c r="D19" s="319">
        <v>108828</v>
      </c>
      <c r="E19" s="168">
        <v>1000</v>
      </c>
      <c r="F19" s="169">
        <v>0</v>
      </c>
      <c r="G19" s="170"/>
    </row>
    <row r="20" spans="1:7" s="157" customFormat="1" ht="20.100000000000001" customHeight="1">
      <c r="A20" s="167" t="s">
        <v>193</v>
      </c>
      <c r="B20" s="318">
        <v>7822</v>
      </c>
      <c r="C20" s="318">
        <v>8213</v>
      </c>
      <c r="D20" s="319">
        <v>120493</v>
      </c>
      <c r="E20" s="168">
        <v>1100</v>
      </c>
      <c r="F20" s="169">
        <v>250</v>
      </c>
      <c r="G20" s="170"/>
    </row>
    <row r="21" spans="1:7" s="157" customFormat="1" ht="20.100000000000001" customHeight="1">
      <c r="A21" s="167" t="s">
        <v>187</v>
      </c>
      <c r="B21" s="318">
        <v>8831</v>
      </c>
      <c r="C21" s="318">
        <v>9530</v>
      </c>
      <c r="D21" s="319">
        <v>133482</v>
      </c>
      <c r="E21" s="168">
        <v>1300</v>
      </c>
      <c r="F21" s="169">
        <v>0</v>
      </c>
      <c r="G21" s="170"/>
    </row>
    <row r="22" spans="1:7" s="157" customFormat="1" ht="20.100000000000001" customHeight="1">
      <c r="A22" s="167" t="s">
        <v>201</v>
      </c>
      <c r="B22" s="318">
        <v>23054</v>
      </c>
      <c r="C22" s="318">
        <v>23771</v>
      </c>
      <c r="D22" s="319">
        <v>222286</v>
      </c>
      <c r="E22" s="168">
        <v>2000</v>
      </c>
      <c r="F22" s="168">
        <v>0</v>
      </c>
      <c r="G22" s="170"/>
    </row>
    <row r="23" spans="1:7" s="157" customFormat="1" ht="20.100000000000001" customHeight="1">
      <c r="A23" s="167" t="s">
        <v>190</v>
      </c>
      <c r="B23" s="318">
        <v>9653</v>
      </c>
      <c r="C23" s="318">
        <v>10097</v>
      </c>
      <c r="D23" s="319">
        <v>135678</v>
      </c>
      <c r="E23" s="168">
        <v>1600</v>
      </c>
      <c r="F23" s="168">
        <v>0</v>
      </c>
      <c r="G23" s="170"/>
    </row>
    <row r="24" spans="1:7" s="157" customFormat="1" ht="20.100000000000001" customHeight="1">
      <c r="A24" s="167" t="s">
        <v>189</v>
      </c>
      <c r="B24" s="318">
        <v>6118</v>
      </c>
      <c r="C24" s="318">
        <v>6545</v>
      </c>
      <c r="D24" s="319">
        <v>113036</v>
      </c>
      <c r="E24" s="168">
        <v>1750</v>
      </c>
      <c r="F24" s="168">
        <v>0</v>
      </c>
      <c r="G24" s="170"/>
    </row>
    <row r="25" spans="1:7" s="157" customFormat="1" ht="20.100000000000001" customHeight="1">
      <c r="A25" s="167" t="s">
        <v>192</v>
      </c>
      <c r="B25" s="318">
        <v>7393</v>
      </c>
      <c r="C25" s="318">
        <v>7186</v>
      </c>
      <c r="D25" s="319">
        <v>138119</v>
      </c>
      <c r="E25" s="168">
        <v>450</v>
      </c>
      <c r="F25" s="168">
        <v>0</v>
      </c>
      <c r="G25" s="170"/>
    </row>
    <row r="26" spans="1:7" s="157" customFormat="1" ht="20.100000000000001" customHeight="1">
      <c r="A26" s="167" t="s">
        <v>178</v>
      </c>
      <c r="B26" s="318">
        <v>8532</v>
      </c>
      <c r="C26" s="318">
        <v>9396</v>
      </c>
      <c r="D26" s="319">
        <v>143322</v>
      </c>
      <c r="E26" s="168">
        <v>800</v>
      </c>
      <c r="F26" s="168">
        <v>0</v>
      </c>
      <c r="G26" s="170"/>
    </row>
    <row r="27" spans="1:7" s="157" customFormat="1" ht="20.100000000000001" customHeight="1">
      <c r="A27" s="167" t="s">
        <v>195</v>
      </c>
      <c r="B27" s="318">
        <v>12236</v>
      </c>
      <c r="C27" s="318">
        <v>12548</v>
      </c>
      <c r="D27" s="319">
        <v>156737</v>
      </c>
      <c r="E27" s="168">
        <v>1500</v>
      </c>
      <c r="F27" s="168">
        <v>350</v>
      </c>
      <c r="G27" s="170"/>
    </row>
    <row r="28" spans="1:7" s="157" customFormat="1" ht="20.100000000000001" customHeight="1">
      <c r="A28" s="167" t="s">
        <v>179</v>
      </c>
      <c r="B28" s="318">
        <v>7686</v>
      </c>
      <c r="C28" s="318">
        <v>8637</v>
      </c>
      <c r="D28" s="319">
        <v>125239</v>
      </c>
      <c r="E28" s="168">
        <v>1500</v>
      </c>
      <c r="F28" s="168">
        <v>200</v>
      </c>
      <c r="G28" s="170"/>
    </row>
    <row r="29" spans="1:7" s="157" customFormat="1" ht="20.100000000000001" customHeight="1">
      <c r="A29" s="167" t="s">
        <v>194</v>
      </c>
      <c r="B29" s="318">
        <v>7469</v>
      </c>
      <c r="C29" s="318">
        <v>7691</v>
      </c>
      <c r="D29" s="319">
        <v>128456</v>
      </c>
      <c r="E29" s="168">
        <v>900</v>
      </c>
      <c r="F29" s="168">
        <v>0</v>
      </c>
      <c r="G29" s="170"/>
    </row>
    <row r="30" spans="1:7" ht="20.100000000000001" customHeight="1">
      <c r="A30" s="74"/>
      <c r="B30" s="60"/>
      <c r="C30" s="60"/>
      <c r="D30" s="60"/>
      <c r="E30" s="60"/>
      <c r="F30" s="60"/>
      <c r="G30" s="74"/>
    </row>
    <row r="31" spans="1:7" ht="15.95" customHeight="1">
      <c r="A31" s="64" t="s">
        <v>162</v>
      </c>
    </row>
  </sheetData>
  <mergeCells count="6">
    <mergeCell ref="A3:G3"/>
    <mergeCell ref="A4:G4"/>
    <mergeCell ref="A7:A10"/>
    <mergeCell ref="B8:D8"/>
    <mergeCell ref="E8:G8"/>
    <mergeCell ref="B7:G7"/>
  </mergeCells>
  <phoneticPr fontId="33" type="noConversion"/>
  <pageMargins left="0.7086111307144165" right="0.7086111307144165" top="0.35430556535720825" bottom="0.39347222447395325" header="0.31486111879348755" footer="0.3148611187934875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6">
    <tabColor rgb="FF315F97"/>
  </sheetPr>
  <dimension ref="A1:AI31"/>
  <sheetViews>
    <sheetView view="pageBreakPreview" zoomScale="70" zoomScaleNormal="100" zoomScaleSheetLayoutView="70" workbookViewId="0">
      <selection activeCell="G36" sqref="G36"/>
    </sheetView>
  </sheetViews>
  <sheetFormatPr defaultColWidth="8.88671875" defaultRowHeight="13.5"/>
  <cols>
    <col min="1" max="26" width="12.77734375" style="50" customWidth="1"/>
    <col min="27" max="27" width="16.109375" style="50" customWidth="1"/>
    <col min="28" max="28" width="18.109375" style="50" customWidth="1"/>
    <col min="29" max="35" width="12.77734375" style="50" customWidth="1"/>
    <col min="36" max="16384" width="8.88671875" style="50"/>
  </cols>
  <sheetData>
    <row r="1" spans="1:35" ht="20.100000000000001" customHeight="1">
      <c r="A1" s="47" t="s">
        <v>163</v>
      </c>
      <c r="M1" s="48" t="s">
        <v>19</v>
      </c>
      <c r="P1" s="47"/>
      <c r="R1" s="47"/>
    </row>
    <row r="2" spans="1:35" ht="20.100000000000001" customHeight="1"/>
    <row r="3" spans="1:35" s="73" customFormat="1" ht="25.5">
      <c r="A3" s="252" t="s">
        <v>16</v>
      </c>
      <c r="B3" s="252"/>
      <c r="C3" s="252"/>
      <c r="D3" s="252"/>
      <c r="E3" s="252"/>
      <c r="F3" s="252"/>
      <c r="G3" s="252"/>
      <c r="H3" s="252" t="s">
        <v>205</v>
      </c>
      <c r="I3" s="252"/>
      <c r="J3" s="252"/>
      <c r="K3" s="252"/>
      <c r="L3" s="252"/>
      <c r="M3" s="252"/>
      <c r="N3" s="289"/>
      <c r="O3" s="289"/>
      <c r="P3" s="289"/>
      <c r="Q3" s="289"/>
      <c r="R3" s="252"/>
      <c r="S3" s="252"/>
      <c r="T3" s="252"/>
      <c r="U3" s="252"/>
      <c r="V3" s="252"/>
      <c r="W3" s="289"/>
      <c r="X3" s="289"/>
      <c r="Y3" s="289"/>
      <c r="Z3" s="289"/>
      <c r="AA3" s="289"/>
      <c r="AB3" s="253"/>
      <c r="AC3" s="253"/>
      <c r="AD3" s="253"/>
      <c r="AE3" s="253"/>
      <c r="AF3" s="253"/>
      <c r="AG3" s="253"/>
      <c r="AH3" s="253"/>
      <c r="AI3" s="253"/>
    </row>
    <row r="4" spans="1:35" s="73" customFormat="1" ht="20.100000000000001" customHeight="1">
      <c r="A4" s="95"/>
      <c r="B4" s="95"/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105"/>
      <c r="O4" s="105"/>
      <c r="P4" s="105"/>
      <c r="Q4" s="105"/>
      <c r="R4" s="95"/>
      <c r="S4" s="95"/>
      <c r="T4" s="95"/>
      <c r="U4" s="95"/>
      <c r="V4" s="95"/>
      <c r="W4" s="105"/>
      <c r="X4" s="105"/>
      <c r="Y4" s="105"/>
      <c r="Z4" s="105"/>
      <c r="AA4" s="105"/>
      <c r="AB4" s="104"/>
      <c r="AC4" s="104"/>
      <c r="AD4" s="104"/>
      <c r="AE4" s="104"/>
      <c r="AF4" s="104"/>
      <c r="AG4" s="104"/>
      <c r="AH4" s="104"/>
      <c r="AI4" s="104"/>
    </row>
    <row r="5" spans="1:35" ht="15.95" customHeight="1">
      <c r="A5" s="63" t="s">
        <v>94</v>
      </c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82" t="s">
        <v>169</v>
      </c>
      <c r="N5" s="83"/>
      <c r="O5" s="83"/>
      <c r="P5" s="83"/>
      <c r="Q5" s="83"/>
      <c r="R5" s="83"/>
      <c r="S5" s="60"/>
      <c r="T5" s="84" t="s">
        <v>59</v>
      </c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2"/>
      <c r="AI5" s="82"/>
    </row>
    <row r="6" spans="1:35" ht="27.75" customHeight="1">
      <c r="A6" s="290" t="s">
        <v>70</v>
      </c>
      <c r="B6" s="264" t="s">
        <v>244</v>
      </c>
      <c r="C6" s="264"/>
      <c r="D6" s="264"/>
      <c r="E6" s="265"/>
      <c r="F6" s="263" t="s">
        <v>26</v>
      </c>
      <c r="G6" s="264"/>
      <c r="H6" s="264"/>
      <c r="I6" s="264"/>
      <c r="J6" s="264"/>
      <c r="K6" s="264"/>
      <c r="L6" s="264"/>
      <c r="M6" s="265"/>
      <c r="N6" s="293" t="s">
        <v>17</v>
      </c>
      <c r="O6" s="295"/>
      <c r="P6" s="295"/>
      <c r="Q6" s="295"/>
      <c r="R6" s="295" t="s">
        <v>5</v>
      </c>
      <c r="S6" s="294"/>
      <c r="T6" s="293" t="s">
        <v>28</v>
      </c>
      <c r="U6" s="294"/>
      <c r="V6" s="298" t="s">
        <v>112</v>
      </c>
      <c r="W6" s="295" t="s">
        <v>206</v>
      </c>
      <c r="X6" s="295"/>
      <c r="Y6" s="294"/>
      <c r="Z6" s="263" t="s">
        <v>85</v>
      </c>
      <c r="AA6" s="264"/>
      <c r="AB6" s="264"/>
      <c r="AC6" s="264" t="s">
        <v>207</v>
      </c>
      <c r="AD6" s="264"/>
      <c r="AE6" s="264"/>
      <c r="AF6" s="264"/>
      <c r="AG6" s="264"/>
      <c r="AH6" s="264"/>
      <c r="AI6" s="265"/>
    </row>
    <row r="7" spans="1:35" s="55" customFormat="1" ht="20.100000000000001" customHeight="1">
      <c r="A7" s="291"/>
      <c r="B7" s="287" t="s">
        <v>89</v>
      </c>
      <c r="C7" s="288" t="s">
        <v>103</v>
      </c>
      <c r="D7" s="288" t="s">
        <v>102</v>
      </c>
      <c r="E7" s="288" t="s">
        <v>83</v>
      </c>
      <c r="F7" s="261" t="s">
        <v>171</v>
      </c>
      <c r="G7" s="266"/>
      <c r="H7" s="266"/>
      <c r="I7" s="266"/>
      <c r="J7" s="266"/>
      <c r="K7" s="266"/>
      <c r="L7" s="281" t="s">
        <v>49</v>
      </c>
      <c r="M7" s="276"/>
      <c r="N7" s="276" t="s">
        <v>93</v>
      </c>
      <c r="O7" s="270" t="s">
        <v>82</v>
      </c>
      <c r="P7" s="270" t="s">
        <v>95</v>
      </c>
      <c r="Q7" s="270" t="s">
        <v>96</v>
      </c>
      <c r="R7" s="276" t="s">
        <v>108</v>
      </c>
      <c r="S7" s="292" t="s">
        <v>52</v>
      </c>
      <c r="T7" s="271" t="s">
        <v>217</v>
      </c>
      <c r="U7" s="271" t="s">
        <v>232</v>
      </c>
      <c r="V7" s="272"/>
      <c r="W7" s="52" t="s">
        <v>87</v>
      </c>
      <c r="X7" s="53" t="s">
        <v>86</v>
      </c>
      <c r="Y7" s="53" t="s">
        <v>100</v>
      </c>
      <c r="Z7" s="53" t="s">
        <v>104</v>
      </c>
      <c r="AA7" s="53" t="s">
        <v>130</v>
      </c>
      <c r="AB7" s="53" t="s">
        <v>109</v>
      </c>
      <c r="AC7" s="276" t="s">
        <v>114</v>
      </c>
      <c r="AD7" s="53" t="s">
        <v>124</v>
      </c>
      <c r="AE7" s="270" t="s">
        <v>81</v>
      </c>
      <c r="AF7" s="281" t="s">
        <v>137</v>
      </c>
      <c r="AG7" s="270" t="s">
        <v>107</v>
      </c>
      <c r="AH7" s="270" t="s">
        <v>101</v>
      </c>
      <c r="AI7" s="292" t="s">
        <v>60</v>
      </c>
    </row>
    <row r="8" spans="1:35" s="55" customFormat="1" ht="20.100000000000001" customHeight="1">
      <c r="A8" s="291"/>
      <c r="B8" s="255"/>
      <c r="C8" s="272"/>
      <c r="D8" s="272"/>
      <c r="E8" s="272"/>
      <c r="F8" s="281" t="s">
        <v>118</v>
      </c>
      <c r="G8" s="276"/>
      <c r="H8" s="282" t="s">
        <v>84</v>
      </c>
      <c r="I8" s="277"/>
      <c r="J8" s="282" t="s">
        <v>92</v>
      </c>
      <c r="K8" s="277"/>
      <c r="L8" s="282"/>
      <c r="M8" s="277"/>
      <c r="N8" s="277"/>
      <c r="O8" s="271"/>
      <c r="P8" s="271"/>
      <c r="Q8" s="271"/>
      <c r="R8" s="277"/>
      <c r="S8" s="274"/>
      <c r="T8" s="271"/>
      <c r="U8" s="271"/>
      <c r="V8" s="272"/>
      <c r="W8" s="85" t="s">
        <v>217</v>
      </c>
      <c r="X8" s="51" t="s">
        <v>217</v>
      </c>
      <c r="Y8" s="51" t="s">
        <v>217</v>
      </c>
      <c r="Z8" s="51" t="s">
        <v>90</v>
      </c>
      <c r="AA8" s="51" t="s">
        <v>221</v>
      </c>
      <c r="AB8" s="51" t="s">
        <v>126</v>
      </c>
      <c r="AC8" s="277"/>
      <c r="AD8" s="51" t="s">
        <v>223</v>
      </c>
      <c r="AE8" s="271"/>
      <c r="AF8" s="282"/>
      <c r="AG8" s="271"/>
      <c r="AH8" s="271"/>
      <c r="AI8" s="274"/>
    </row>
    <row r="9" spans="1:35" ht="15" customHeight="1">
      <c r="A9" s="283" t="s">
        <v>88</v>
      </c>
      <c r="B9" s="272"/>
      <c r="C9" s="272"/>
      <c r="D9" s="272"/>
      <c r="E9" s="272"/>
      <c r="F9" s="280" t="s">
        <v>167</v>
      </c>
      <c r="G9" s="260"/>
      <c r="H9" s="285" t="s">
        <v>170</v>
      </c>
      <c r="I9" s="286"/>
      <c r="J9" s="285" t="s">
        <v>158</v>
      </c>
      <c r="K9" s="286"/>
      <c r="L9" s="285" t="s">
        <v>51</v>
      </c>
      <c r="M9" s="286"/>
      <c r="N9" s="86" t="s">
        <v>50</v>
      </c>
      <c r="O9" s="271" t="s">
        <v>12</v>
      </c>
      <c r="P9" s="76"/>
      <c r="Q9" s="272" t="s">
        <v>150</v>
      </c>
      <c r="R9" s="272" t="s">
        <v>243</v>
      </c>
      <c r="S9" s="272" t="s">
        <v>27</v>
      </c>
      <c r="T9" s="296" t="s">
        <v>48</v>
      </c>
      <c r="U9" s="296" t="s">
        <v>66</v>
      </c>
      <c r="V9" s="296" t="s">
        <v>98</v>
      </c>
      <c r="W9" s="255" t="s">
        <v>210</v>
      </c>
      <c r="X9" s="272" t="s">
        <v>209</v>
      </c>
      <c r="Y9" s="272" t="s">
        <v>208</v>
      </c>
      <c r="Z9" s="272" t="s">
        <v>2</v>
      </c>
      <c r="AA9" s="51" t="s">
        <v>73</v>
      </c>
      <c r="AB9" s="51" t="s">
        <v>74</v>
      </c>
      <c r="AC9" s="255" t="s">
        <v>14</v>
      </c>
      <c r="AD9" s="272" t="s">
        <v>57</v>
      </c>
      <c r="AE9" s="272" t="s">
        <v>8</v>
      </c>
      <c r="AF9" s="278" t="s">
        <v>166</v>
      </c>
      <c r="AG9" s="278" t="s">
        <v>123</v>
      </c>
      <c r="AH9" s="51" t="s">
        <v>172</v>
      </c>
      <c r="AI9" s="274" t="s">
        <v>242</v>
      </c>
    </row>
    <row r="10" spans="1:35">
      <c r="A10" s="283"/>
      <c r="B10" s="272" t="s">
        <v>97</v>
      </c>
      <c r="C10" s="272" t="s">
        <v>67</v>
      </c>
      <c r="D10" s="272" t="s">
        <v>56</v>
      </c>
      <c r="E10" s="272"/>
      <c r="F10" s="65" t="s">
        <v>213</v>
      </c>
      <c r="G10" s="81" t="s">
        <v>211</v>
      </c>
      <c r="H10" s="52" t="s">
        <v>213</v>
      </c>
      <c r="I10" s="78" t="s">
        <v>211</v>
      </c>
      <c r="J10" s="53" t="s">
        <v>213</v>
      </c>
      <c r="K10" s="52" t="s">
        <v>211</v>
      </c>
      <c r="L10" s="52" t="s">
        <v>213</v>
      </c>
      <c r="M10" s="52" t="s">
        <v>211</v>
      </c>
      <c r="N10" s="88" t="s">
        <v>61</v>
      </c>
      <c r="O10" s="271"/>
      <c r="P10" s="108" t="s">
        <v>46</v>
      </c>
      <c r="Q10" s="272"/>
      <c r="R10" s="272"/>
      <c r="S10" s="272"/>
      <c r="T10" s="296"/>
      <c r="U10" s="296"/>
      <c r="V10" s="296"/>
      <c r="W10" s="259"/>
      <c r="X10" s="296"/>
      <c r="Y10" s="296"/>
      <c r="Z10" s="272"/>
      <c r="AA10" s="51" t="s">
        <v>155</v>
      </c>
      <c r="AB10" s="51" t="s">
        <v>173</v>
      </c>
      <c r="AC10" s="255"/>
      <c r="AD10" s="272"/>
      <c r="AE10" s="272"/>
      <c r="AF10" s="279"/>
      <c r="AG10" s="279"/>
      <c r="AH10" s="51" t="s">
        <v>99</v>
      </c>
      <c r="AI10" s="274"/>
    </row>
    <row r="11" spans="1:35" ht="12" customHeight="1">
      <c r="A11" s="284"/>
      <c r="B11" s="273"/>
      <c r="C11" s="273"/>
      <c r="D11" s="273"/>
      <c r="E11" s="273"/>
      <c r="F11" s="66" t="s">
        <v>105</v>
      </c>
      <c r="G11" s="71" t="s">
        <v>116</v>
      </c>
      <c r="H11" s="58" t="s">
        <v>105</v>
      </c>
      <c r="I11" s="57" t="s">
        <v>116</v>
      </c>
      <c r="J11" s="57" t="s">
        <v>105</v>
      </c>
      <c r="K11" s="57" t="s">
        <v>116</v>
      </c>
      <c r="L11" s="57" t="s">
        <v>105</v>
      </c>
      <c r="M11" s="56" t="s">
        <v>116</v>
      </c>
      <c r="N11" s="100" t="s">
        <v>55</v>
      </c>
      <c r="O11" s="299"/>
      <c r="P11" s="89"/>
      <c r="Q11" s="273"/>
      <c r="R11" s="273"/>
      <c r="S11" s="273"/>
      <c r="T11" s="297"/>
      <c r="U11" s="297"/>
      <c r="V11" s="297"/>
      <c r="W11" s="260"/>
      <c r="X11" s="297"/>
      <c r="Y11" s="297"/>
      <c r="Z11" s="273"/>
      <c r="AA11" s="56" t="s">
        <v>63</v>
      </c>
      <c r="AB11" s="56" t="s">
        <v>62</v>
      </c>
      <c r="AC11" s="256"/>
      <c r="AD11" s="273"/>
      <c r="AE11" s="273"/>
      <c r="AF11" s="280"/>
      <c r="AG11" s="280"/>
      <c r="AH11" s="51" t="s">
        <v>54</v>
      </c>
      <c r="AI11" s="275"/>
    </row>
    <row r="12" spans="1:35" ht="20.100000000000001" customHeight="1">
      <c r="A12" s="67"/>
      <c r="M12" s="67"/>
      <c r="V12" s="144"/>
      <c r="W12" s="144"/>
      <c r="AH12" s="90"/>
      <c r="AI12" s="77"/>
    </row>
    <row r="13" spans="1:35" s="177" customFormat="1" ht="20.100000000000001" customHeight="1">
      <c r="A13" s="171">
        <v>2019</v>
      </c>
      <c r="B13" s="172">
        <v>1</v>
      </c>
      <c r="C13" s="173">
        <v>0</v>
      </c>
      <c r="D13" s="173">
        <v>1</v>
      </c>
      <c r="E13" s="173">
        <v>3</v>
      </c>
      <c r="F13" s="173">
        <v>1</v>
      </c>
      <c r="G13" s="173">
        <v>61</v>
      </c>
      <c r="H13" s="173">
        <v>0</v>
      </c>
      <c r="I13" s="173">
        <v>0</v>
      </c>
      <c r="J13" s="173">
        <v>0</v>
      </c>
      <c r="K13" s="173">
        <v>0</v>
      </c>
      <c r="L13" s="174">
        <v>0</v>
      </c>
      <c r="M13" s="175">
        <v>0</v>
      </c>
      <c r="N13" s="176">
        <v>1</v>
      </c>
      <c r="O13" s="176">
        <v>0</v>
      </c>
      <c r="P13" s="176">
        <v>12</v>
      </c>
      <c r="Q13" s="176">
        <v>0</v>
      </c>
      <c r="R13" s="176">
        <v>0</v>
      </c>
      <c r="S13" s="176">
        <v>0</v>
      </c>
      <c r="T13" s="176">
        <v>0</v>
      </c>
      <c r="U13" s="176">
        <v>0</v>
      </c>
      <c r="V13" s="176">
        <v>0</v>
      </c>
      <c r="W13" s="176">
        <v>0</v>
      </c>
      <c r="X13" s="176">
        <v>5</v>
      </c>
      <c r="Y13" s="176">
        <v>1</v>
      </c>
      <c r="Z13" s="176">
        <v>0</v>
      </c>
      <c r="AA13" s="176">
        <v>0</v>
      </c>
      <c r="AB13" s="176">
        <v>0</v>
      </c>
      <c r="AC13" s="176">
        <v>0</v>
      </c>
      <c r="AD13" s="176">
        <v>0</v>
      </c>
      <c r="AE13" s="176">
        <v>0</v>
      </c>
      <c r="AF13" s="176">
        <v>1</v>
      </c>
      <c r="AG13" s="176">
        <v>0</v>
      </c>
      <c r="AH13" s="176">
        <v>6</v>
      </c>
      <c r="AI13" s="175">
        <v>0</v>
      </c>
    </row>
    <row r="14" spans="1:35" s="177" customFormat="1" ht="20.100000000000001" customHeight="1">
      <c r="A14" s="171">
        <v>2020</v>
      </c>
      <c r="B14" s="172">
        <v>1</v>
      </c>
      <c r="C14" s="173">
        <v>0</v>
      </c>
      <c r="D14" s="173">
        <v>4</v>
      </c>
      <c r="E14" s="173">
        <v>2</v>
      </c>
      <c r="F14" s="173">
        <v>1</v>
      </c>
      <c r="G14" s="173">
        <v>61</v>
      </c>
      <c r="H14" s="173">
        <v>0</v>
      </c>
      <c r="I14" s="173">
        <v>0</v>
      </c>
      <c r="J14" s="173">
        <v>0</v>
      </c>
      <c r="K14" s="173">
        <v>0</v>
      </c>
      <c r="L14" s="174">
        <v>0</v>
      </c>
      <c r="M14" s="175">
        <v>0</v>
      </c>
      <c r="N14" s="176">
        <v>1</v>
      </c>
      <c r="O14" s="176">
        <v>0</v>
      </c>
      <c r="P14" s="176">
        <v>13</v>
      </c>
      <c r="Q14" s="176">
        <v>0</v>
      </c>
      <c r="R14" s="176">
        <v>0</v>
      </c>
      <c r="S14" s="176">
        <v>0</v>
      </c>
      <c r="T14" s="176">
        <v>0</v>
      </c>
      <c r="U14" s="176">
        <v>0</v>
      </c>
      <c r="V14" s="176">
        <v>0</v>
      </c>
      <c r="W14" s="176">
        <v>0</v>
      </c>
      <c r="X14" s="176">
        <v>5</v>
      </c>
      <c r="Y14" s="176">
        <v>1</v>
      </c>
      <c r="Z14" s="176">
        <v>0</v>
      </c>
      <c r="AA14" s="176">
        <v>0</v>
      </c>
      <c r="AB14" s="176">
        <v>0</v>
      </c>
      <c r="AC14" s="176">
        <v>0</v>
      </c>
      <c r="AD14" s="176">
        <v>0</v>
      </c>
      <c r="AE14" s="176">
        <v>0</v>
      </c>
      <c r="AF14" s="176">
        <v>1</v>
      </c>
      <c r="AG14" s="176">
        <v>0</v>
      </c>
      <c r="AH14" s="176">
        <v>5</v>
      </c>
      <c r="AI14" s="175">
        <v>1</v>
      </c>
    </row>
    <row r="15" spans="1:35" s="178" customFormat="1" ht="20.100000000000001" customHeight="1">
      <c r="A15" s="171">
        <v>2021</v>
      </c>
      <c r="B15" s="179">
        <v>1</v>
      </c>
      <c r="C15" s="180">
        <v>0</v>
      </c>
      <c r="D15" s="180">
        <v>4</v>
      </c>
      <c r="E15" s="180">
        <v>2</v>
      </c>
      <c r="F15" s="180">
        <v>1</v>
      </c>
      <c r="G15" s="180">
        <v>61</v>
      </c>
      <c r="H15" s="180">
        <v>0</v>
      </c>
      <c r="I15" s="180">
        <v>0</v>
      </c>
      <c r="J15" s="180">
        <v>0</v>
      </c>
      <c r="K15" s="180">
        <v>0</v>
      </c>
      <c r="L15" s="181">
        <v>0</v>
      </c>
      <c r="M15" s="182">
        <v>0</v>
      </c>
      <c r="N15" s="179">
        <v>1</v>
      </c>
      <c r="O15" s="179">
        <v>0</v>
      </c>
      <c r="P15" s="179">
        <v>13</v>
      </c>
      <c r="Q15" s="179">
        <v>0</v>
      </c>
      <c r="R15" s="179">
        <v>0</v>
      </c>
      <c r="S15" s="179">
        <v>0</v>
      </c>
      <c r="T15" s="179">
        <v>0</v>
      </c>
      <c r="U15" s="179">
        <v>0</v>
      </c>
      <c r="V15" s="179">
        <v>0</v>
      </c>
      <c r="W15" s="179">
        <v>0</v>
      </c>
      <c r="X15" s="179">
        <v>6</v>
      </c>
      <c r="Y15" s="179">
        <v>1</v>
      </c>
      <c r="Z15" s="179">
        <v>0</v>
      </c>
      <c r="AA15" s="179">
        <v>0</v>
      </c>
      <c r="AB15" s="179">
        <v>0</v>
      </c>
      <c r="AC15" s="179">
        <v>0</v>
      </c>
      <c r="AD15" s="179">
        <v>0</v>
      </c>
      <c r="AE15" s="179">
        <v>0</v>
      </c>
      <c r="AF15" s="179">
        <v>2</v>
      </c>
      <c r="AG15" s="179">
        <v>0</v>
      </c>
      <c r="AH15" s="179">
        <v>2</v>
      </c>
      <c r="AI15" s="182">
        <v>1</v>
      </c>
    </row>
    <row r="16" spans="1:35" s="178" customFormat="1" ht="20.100000000000001" customHeight="1">
      <c r="A16" s="171">
        <v>2022</v>
      </c>
      <c r="B16" s="179">
        <v>1</v>
      </c>
      <c r="C16" s="180"/>
      <c r="D16" s="180">
        <v>3</v>
      </c>
      <c r="E16" s="180">
        <v>4</v>
      </c>
      <c r="F16" s="180">
        <v>1</v>
      </c>
      <c r="G16" s="180">
        <v>61</v>
      </c>
      <c r="H16" s="180"/>
      <c r="I16" s="180"/>
      <c r="J16" s="180"/>
      <c r="K16" s="180"/>
      <c r="L16" s="181"/>
      <c r="M16" s="182"/>
      <c r="N16" s="179">
        <v>1</v>
      </c>
      <c r="O16" s="179"/>
      <c r="P16" s="179">
        <v>17</v>
      </c>
      <c r="Q16" s="179"/>
      <c r="R16" s="179"/>
      <c r="S16" s="179"/>
      <c r="T16" s="179"/>
      <c r="U16" s="179"/>
      <c r="V16" s="179"/>
      <c r="W16" s="179"/>
      <c r="X16" s="179">
        <v>6</v>
      </c>
      <c r="Y16" s="179">
        <v>1</v>
      </c>
      <c r="Z16" s="179"/>
      <c r="AA16" s="179"/>
      <c r="AB16" s="179"/>
      <c r="AC16" s="179"/>
      <c r="AD16" s="179"/>
      <c r="AE16" s="179"/>
      <c r="AF16" s="179">
        <v>2</v>
      </c>
      <c r="AG16" s="179"/>
      <c r="AH16" s="179">
        <v>2</v>
      </c>
      <c r="AI16" s="182">
        <v>1</v>
      </c>
    </row>
    <row r="17" spans="1:35" s="184" customFormat="1" ht="20.100000000000001" customHeight="1">
      <c r="A17" s="183">
        <v>2023</v>
      </c>
      <c r="B17" s="311">
        <v>1</v>
      </c>
      <c r="C17" s="311"/>
      <c r="D17" s="311">
        <v>3</v>
      </c>
      <c r="E17" s="311">
        <v>4</v>
      </c>
      <c r="F17" s="311">
        <v>1</v>
      </c>
      <c r="G17" s="311">
        <v>61</v>
      </c>
      <c r="H17" s="311"/>
      <c r="I17" s="311"/>
      <c r="J17" s="311"/>
      <c r="K17" s="311"/>
      <c r="L17" s="311"/>
      <c r="M17" s="311"/>
      <c r="N17" s="311">
        <v>1</v>
      </c>
      <c r="O17" s="311"/>
      <c r="P17" s="311">
        <v>18</v>
      </c>
      <c r="Q17" s="311"/>
      <c r="R17" s="311"/>
      <c r="S17" s="311"/>
      <c r="T17" s="311"/>
      <c r="U17" s="311"/>
      <c r="V17" s="311"/>
      <c r="W17" s="311"/>
      <c r="X17" s="311">
        <v>6</v>
      </c>
      <c r="Y17" s="311">
        <v>1</v>
      </c>
      <c r="Z17" s="311"/>
      <c r="AA17" s="311"/>
      <c r="AB17" s="311"/>
      <c r="AC17" s="311"/>
      <c r="AD17" s="311"/>
      <c r="AE17" s="311"/>
      <c r="AF17" s="311">
        <v>2</v>
      </c>
      <c r="AG17" s="311"/>
      <c r="AH17" s="311">
        <v>2</v>
      </c>
      <c r="AI17" s="311">
        <v>1</v>
      </c>
    </row>
    <row r="18" spans="1:35" s="186" customFormat="1" ht="20.100000000000001" customHeight="1">
      <c r="A18" s="185"/>
      <c r="B18" s="312"/>
      <c r="C18" s="312"/>
      <c r="D18" s="312"/>
      <c r="E18" s="312"/>
      <c r="F18" s="312"/>
      <c r="G18" s="312"/>
      <c r="H18" s="312"/>
      <c r="I18" s="312"/>
      <c r="J18" s="312"/>
      <c r="K18" s="312"/>
      <c r="L18" s="312"/>
      <c r="M18" s="312"/>
      <c r="N18" s="312"/>
      <c r="O18" s="312"/>
      <c r="P18" s="312"/>
      <c r="Q18" s="312"/>
      <c r="R18" s="312"/>
      <c r="S18" s="312"/>
      <c r="T18" s="312"/>
      <c r="U18" s="312"/>
      <c r="V18" s="312"/>
      <c r="W18" s="312"/>
      <c r="X18" s="312"/>
      <c r="Y18" s="312"/>
      <c r="Z18" s="312"/>
      <c r="AA18" s="312"/>
      <c r="AB18" s="312"/>
      <c r="AC18" s="312"/>
      <c r="AD18" s="312"/>
      <c r="AE18" s="312"/>
      <c r="AF18" s="312"/>
      <c r="AG18" s="313"/>
      <c r="AH18" s="313"/>
      <c r="AI18" s="312"/>
    </row>
    <row r="19" spans="1:35" s="186" customFormat="1" ht="20.100000000000001" customHeight="1">
      <c r="A19" s="187" t="s">
        <v>33</v>
      </c>
      <c r="B19" s="314">
        <v>1</v>
      </c>
      <c r="C19" s="314"/>
      <c r="D19" s="314">
        <v>2</v>
      </c>
      <c r="E19" s="315">
        <v>2</v>
      </c>
      <c r="F19" s="316">
        <v>1</v>
      </c>
      <c r="G19" s="316"/>
      <c r="H19" s="314"/>
      <c r="I19" s="314"/>
      <c r="J19" s="314"/>
      <c r="K19" s="314"/>
      <c r="L19" s="314"/>
      <c r="M19" s="314"/>
      <c r="N19" s="314"/>
      <c r="O19" s="314"/>
      <c r="P19" s="314">
        <v>2</v>
      </c>
      <c r="Q19" s="314"/>
      <c r="R19" s="314"/>
      <c r="S19" s="314"/>
      <c r="T19" s="314"/>
      <c r="U19" s="314"/>
      <c r="V19" s="314"/>
      <c r="W19" s="314"/>
      <c r="X19" s="314"/>
      <c r="Y19" s="314"/>
      <c r="Z19" s="314"/>
      <c r="AA19" s="314"/>
      <c r="AB19" s="314"/>
      <c r="AC19" s="314"/>
      <c r="AD19" s="314"/>
      <c r="AE19" s="314"/>
      <c r="AF19" s="314"/>
      <c r="AG19" s="314"/>
      <c r="AH19" s="314"/>
      <c r="AI19" s="314"/>
    </row>
    <row r="20" spans="1:35" s="186" customFormat="1" ht="20.100000000000001" customHeight="1">
      <c r="A20" s="187" t="s">
        <v>29</v>
      </c>
      <c r="B20" s="314"/>
      <c r="C20" s="314"/>
      <c r="D20" s="314"/>
      <c r="E20" s="317">
        <v>1</v>
      </c>
      <c r="F20" s="314"/>
      <c r="G20" s="314"/>
      <c r="H20" s="314"/>
      <c r="I20" s="314"/>
      <c r="J20" s="314"/>
      <c r="K20" s="314"/>
      <c r="L20" s="314"/>
      <c r="M20" s="314"/>
      <c r="N20" s="314"/>
      <c r="O20" s="314"/>
      <c r="P20" s="314">
        <v>1</v>
      </c>
      <c r="Q20" s="314"/>
      <c r="R20" s="314"/>
      <c r="S20" s="314"/>
      <c r="T20" s="314"/>
      <c r="U20" s="314"/>
      <c r="V20" s="314"/>
      <c r="W20" s="314"/>
      <c r="X20" s="314">
        <v>6</v>
      </c>
      <c r="Y20" s="314">
        <v>1</v>
      </c>
      <c r="Z20" s="314"/>
      <c r="AA20" s="314"/>
      <c r="AB20" s="314"/>
      <c r="AC20" s="314"/>
      <c r="AD20" s="314"/>
      <c r="AE20" s="314"/>
      <c r="AF20" s="314"/>
      <c r="AG20" s="314"/>
      <c r="AH20" s="314">
        <v>1</v>
      </c>
      <c r="AI20" s="314">
        <v>1</v>
      </c>
    </row>
    <row r="21" spans="1:35" s="186" customFormat="1" ht="20.100000000000001" customHeight="1">
      <c r="A21" s="187" t="s">
        <v>34</v>
      </c>
      <c r="B21" s="314"/>
      <c r="C21" s="314"/>
      <c r="D21" s="314"/>
      <c r="E21" s="314"/>
      <c r="F21" s="314"/>
      <c r="G21" s="314"/>
      <c r="H21" s="314"/>
      <c r="I21" s="314"/>
      <c r="J21" s="314"/>
      <c r="K21" s="314"/>
      <c r="L21" s="314"/>
      <c r="M21" s="314"/>
      <c r="N21" s="314"/>
      <c r="O21" s="314"/>
      <c r="P21" s="314"/>
      <c r="Q21" s="314"/>
      <c r="R21" s="314"/>
      <c r="S21" s="314"/>
      <c r="T21" s="314"/>
      <c r="U21" s="314"/>
      <c r="V21" s="314"/>
      <c r="W21" s="314"/>
      <c r="X21" s="314"/>
      <c r="Y21" s="314"/>
      <c r="Z21" s="314"/>
      <c r="AA21" s="314"/>
      <c r="AB21" s="314"/>
      <c r="AC21" s="314"/>
      <c r="AD21" s="314"/>
      <c r="AE21" s="314"/>
      <c r="AF21" s="314"/>
      <c r="AG21" s="314"/>
      <c r="AH21" s="314"/>
      <c r="AI21" s="314"/>
    </row>
    <row r="22" spans="1:35" s="186" customFormat="1" ht="20.100000000000001" customHeight="1">
      <c r="A22" s="187" t="s">
        <v>31</v>
      </c>
      <c r="B22" s="314"/>
      <c r="C22" s="314"/>
      <c r="D22" s="314"/>
      <c r="E22" s="314"/>
      <c r="F22" s="314"/>
      <c r="G22" s="314"/>
      <c r="H22" s="314"/>
      <c r="I22" s="314"/>
      <c r="J22" s="314"/>
      <c r="K22" s="314"/>
      <c r="L22" s="314"/>
      <c r="M22" s="314"/>
      <c r="N22" s="314"/>
      <c r="O22" s="314"/>
      <c r="P22" s="314">
        <v>1</v>
      </c>
      <c r="Q22" s="314"/>
      <c r="R22" s="314"/>
      <c r="S22" s="314"/>
      <c r="T22" s="314"/>
      <c r="U22" s="314"/>
      <c r="V22" s="314"/>
      <c r="W22" s="314"/>
      <c r="X22" s="314"/>
      <c r="Y22" s="314"/>
      <c r="Z22" s="314"/>
      <c r="AA22" s="314"/>
      <c r="AB22" s="314"/>
      <c r="AC22" s="314"/>
      <c r="AD22" s="314"/>
      <c r="AE22" s="314"/>
      <c r="AF22" s="314"/>
      <c r="AG22" s="314"/>
      <c r="AH22" s="314"/>
      <c r="AI22" s="314"/>
    </row>
    <row r="23" spans="1:35" s="186" customFormat="1" ht="20.100000000000001" customHeight="1">
      <c r="A23" s="187" t="s">
        <v>145</v>
      </c>
      <c r="B23" s="314"/>
      <c r="C23" s="314"/>
      <c r="D23" s="314"/>
      <c r="E23" s="314"/>
      <c r="F23" s="314"/>
      <c r="G23" s="314"/>
      <c r="H23" s="314"/>
      <c r="I23" s="314"/>
      <c r="J23" s="314"/>
      <c r="K23" s="314"/>
      <c r="L23" s="314"/>
      <c r="M23" s="314"/>
      <c r="N23" s="314"/>
      <c r="O23" s="314"/>
      <c r="P23" s="314">
        <v>4</v>
      </c>
      <c r="Q23" s="314"/>
      <c r="R23" s="314"/>
      <c r="S23" s="314"/>
      <c r="T23" s="314"/>
      <c r="U23" s="314"/>
      <c r="V23" s="314"/>
      <c r="W23" s="314"/>
      <c r="X23" s="314"/>
      <c r="Y23" s="314"/>
      <c r="Z23" s="314"/>
      <c r="AA23" s="314"/>
      <c r="AB23" s="314"/>
      <c r="AC23" s="314"/>
      <c r="AD23" s="314"/>
      <c r="AE23" s="314"/>
      <c r="AF23" s="314"/>
      <c r="AG23" s="314"/>
      <c r="AH23" s="314"/>
      <c r="AI23" s="314"/>
    </row>
    <row r="24" spans="1:35" s="186" customFormat="1" ht="20.100000000000001" customHeight="1">
      <c r="A24" s="187" t="s">
        <v>32</v>
      </c>
      <c r="B24" s="314"/>
      <c r="C24" s="314"/>
      <c r="D24" s="314"/>
      <c r="E24" s="314"/>
      <c r="F24" s="314"/>
      <c r="G24" s="314"/>
      <c r="H24" s="314"/>
      <c r="I24" s="314"/>
      <c r="J24" s="314"/>
      <c r="K24" s="314"/>
      <c r="L24" s="314"/>
      <c r="M24" s="314"/>
      <c r="N24" s="314"/>
      <c r="O24" s="314"/>
      <c r="P24" s="314">
        <v>5</v>
      </c>
      <c r="Q24" s="314"/>
      <c r="R24" s="314"/>
      <c r="S24" s="314"/>
      <c r="T24" s="314"/>
      <c r="U24" s="314"/>
      <c r="V24" s="314"/>
      <c r="W24" s="314"/>
      <c r="X24" s="314"/>
      <c r="Y24" s="314"/>
      <c r="Z24" s="314"/>
      <c r="AA24" s="314"/>
      <c r="AB24" s="314"/>
      <c r="AC24" s="314"/>
      <c r="AD24" s="314"/>
      <c r="AE24" s="314"/>
      <c r="AF24" s="314">
        <v>2</v>
      </c>
      <c r="AG24" s="314"/>
      <c r="AH24" s="314">
        <v>1</v>
      </c>
      <c r="AI24" s="314"/>
    </row>
    <row r="25" spans="1:35" s="186" customFormat="1" ht="20.100000000000001" customHeight="1">
      <c r="A25" s="187" t="s">
        <v>30</v>
      </c>
      <c r="B25" s="314"/>
      <c r="C25" s="314"/>
      <c r="D25" s="314"/>
      <c r="E25" s="314"/>
      <c r="F25" s="314"/>
      <c r="G25" s="314"/>
      <c r="H25" s="314"/>
      <c r="I25" s="314"/>
      <c r="J25" s="314"/>
      <c r="K25" s="314"/>
      <c r="L25" s="314"/>
      <c r="M25" s="314"/>
      <c r="N25" s="314"/>
      <c r="O25" s="314"/>
      <c r="P25" s="314">
        <v>3</v>
      </c>
      <c r="Q25" s="314"/>
      <c r="R25" s="314"/>
      <c r="S25" s="314"/>
      <c r="T25" s="314"/>
      <c r="U25" s="314"/>
      <c r="V25" s="314"/>
      <c r="W25" s="314"/>
      <c r="X25" s="314"/>
      <c r="Y25" s="314"/>
      <c r="Z25" s="314"/>
      <c r="AA25" s="314"/>
      <c r="AB25" s="314"/>
      <c r="AC25" s="314"/>
      <c r="AD25" s="314"/>
      <c r="AE25" s="314"/>
      <c r="AF25" s="314"/>
      <c r="AG25" s="314"/>
      <c r="AH25" s="314"/>
      <c r="AI25" s="314"/>
    </row>
    <row r="26" spans="1:35" s="186" customFormat="1" ht="20.100000000000001" customHeight="1">
      <c r="A26" s="187" t="s">
        <v>35</v>
      </c>
      <c r="B26" s="314"/>
      <c r="C26" s="314"/>
      <c r="D26" s="314">
        <v>1</v>
      </c>
      <c r="E26" s="315">
        <v>1</v>
      </c>
      <c r="F26" s="314"/>
      <c r="G26" s="314"/>
      <c r="H26" s="314"/>
      <c r="I26" s="314"/>
      <c r="J26" s="314"/>
      <c r="K26" s="314"/>
      <c r="L26" s="314"/>
      <c r="M26" s="314"/>
      <c r="N26" s="314">
        <v>1</v>
      </c>
      <c r="O26" s="314"/>
      <c r="P26" s="314">
        <v>1</v>
      </c>
      <c r="Q26" s="314"/>
      <c r="R26" s="314"/>
      <c r="S26" s="314"/>
      <c r="T26" s="314"/>
      <c r="U26" s="314"/>
      <c r="V26" s="314"/>
      <c r="W26" s="314"/>
      <c r="X26" s="314"/>
      <c r="Y26" s="314"/>
      <c r="Z26" s="314"/>
      <c r="AA26" s="314"/>
      <c r="AB26" s="314"/>
      <c r="AC26" s="314"/>
      <c r="AD26" s="314"/>
      <c r="AE26" s="314"/>
      <c r="AF26" s="314"/>
      <c r="AG26" s="314"/>
      <c r="AH26" s="314"/>
      <c r="AI26" s="314"/>
    </row>
    <row r="27" spans="1:35" s="186" customFormat="1" ht="20.100000000000001" customHeight="1">
      <c r="A27" s="187" t="s">
        <v>38</v>
      </c>
      <c r="B27" s="314"/>
      <c r="C27" s="314"/>
      <c r="D27" s="314"/>
      <c r="E27" s="314"/>
      <c r="F27" s="314"/>
      <c r="G27" s="314"/>
      <c r="H27" s="314"/>
      <c r="I27" s="314"/>
      <c r="J27" s="314"/>
      <c r="K27" s="314"/>
      <c r="L27" s="314"/>
      <c r="M27" s="314"/>
      <c r="N27" s="314"/>
      <c r="O27" s="314"/>
      <c r="P27" s="314">
        <v>1</v>
      </c>
      <c r="Q27" s="314"/>
      <c r="R27" s="314"/>
      <c r="S27" s="314"/>
      <c r="T27" s="314"/>
      <c r="U27" s="314"/>
      <c r="V27" s="314"/>
      <c r="W27" s="314"/>
      <c r="X27" s="314"/>
      <c r="Y27" s="314"/>
      <c r="Z27" s="314"/>
      <c r="AA27" s="314"/>
      <c r="AB27" s="314"/>
      <c r="AC27" s="314"/>
      <c r="AD27" s="314"/>
      <c r="AE27" s="314"/>
      <c r="AF27" s="314"/>
      <c r="AG27" s="314"/>
      <c r="AH27" s="314"/>
      <c r="AI27" s="314"/>
    </row>
    <row r="28" spans="1:35" s="186" customFormat="1" ht="20.100000000000001" customHeight="1">
      <c r="A28" s="187" t="s">
        <v>36</v>
      </c>
      <c r="B28" s="314"/>
      <c r="C28" s="314"/>
      <c r="D28" s="314"/>
      <c r="E28" s="314"/>
      <c r="F28" s="314"/>
      <c r="G28" s="314"/>
      <c r="H28" s="314"/>
      <c r="I28" s="314"/>
      <c r="J28" s="314"/>
      <c r="K28" s="314"/>
      <c r="L28" s="314"/>
      <c r="M28" s="314"/>
      <c r="N28" s="314"/>
      <c r="O28" s="314"/>
      <c r="P28" s="314"/>
      <c r="Q28" s="314"/>
      <c r="R28" s="314"/>
      <c r="S28" s="314"/>
      <c r="T28" s="314"/>
      <c r="U28" s="314"/>
      <c r="V28" s="314"/>
      <c r="W28" s="314"/>
      <c r="X28" s="314"/>
      <c r="Y28" s="314"/>
      <c r="Z28" s="314"/>
      <c r="AA28" s="314"/>
      <c r="AB28" s="314"/>
      <c r="AC28" s="314"/>
      <c r="AD28" s="314"/>
      <c r="AE28" s="314"/>
      <c r="AF28" s="314"/>
      <c r="AG28" s="314"/>
      <c r="AH28" s="314"/>
      <c r="AI28" s="314"/>
    </row>
    <row r="29" spans="1:35" s="186" customFormat="1" ht="20.100000000000001" customHeight="1">
      <c r="A29" s="187" t="s">
        <v>37</v>
      </c>
      <c r="B29" s="314"/>
      <c r="C29" s="314"/>
      <c r="D29" s="314"/>
      <c r="E29" s="314"/>
      <c r="F29" s="314"/>
      <c r="G29" s="314"/>
      <c r="H29" s="314"/>
      <c r="I29" s="314"/>
      <c r="J29" s="314"/>
      <c r="K29" s="314"/>
      <c r="L29" s="314"/>
      <c r="M29" s="314"/>
      <c r="N29" s="314"/>
      <c r="O29" s="314"/>
      <c r="P29" s="314">
        <v>1</v>
      </c>
      <c r="Q29" s="314"/>
      <c r="R29" s="314"/>
      <c r="S29" s="314"/>
      <c r="T29" s="314"/>
      <c r="U29" s="314"/>
      <c r="V29" s="314"/>
      <c r="W29" s="314"/>
      <c r="X29" s="314"/>
      <c r="Y29" s="314"/>
      <c r="Z29" s="314"/>
      <c r="AA29" s="314"/>
      <c r="AB29" s="314"/>
      <c r="AC29" s="314"/>
      <c r="AD29" s="314"/>
      <c r="AE29" s="314"/>
      <c r="AF29" s="314"/>
      <c r="AG29" s="314"/>
      <c r="AH29" s="314"/>
      <c r="AI29" s="314"/>
    </row>
    <row r="30" spans="1:35" ht="20.100000000000001" customHeight="1">
      <c r="A30" s="74"/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1"/>
      <c r="N30" s="150"/>
      <c r="O30" s="150"/>
      <c r="P30" s="150"/>
      <c r="Q30" s="150"/>
      <c r="R30" s="150"/>
      <c r="S30" s="150"/>
      <c r="T30" s="150"/>
      <c r="U30" s="150"/>
      <c r="V30" s="150"/>
      <c r="W30" s="150"/>
      <c r="X30" s="150"/>
      <c r="Y30" s="150"/>
      <c r="Z30" s="150"/>
      <c r="AA30" s="150"/>
      <c r="AB30" s="150"/>
      <c r="AC30" s="150"/>
      <c r="AD30" s="150"/>
      <c r="AE30" s="150"/>
      <c r="AF30" s="150"/>
      <c r="AG30" s="150"/>
      <c r="AH30" s="150"/>
      <c r="AI30" s="152"/>
    </row>
    <row r="31" spans="1:35" ht="15.95" customHeight="1">
      <c r="A31" s="64" t="s">
        <v>53</v>
      </c>
      <c r="AH31" s="92"/>
      <c r="AI31" s="92"/>
    </row>
  </sheetData>
  <mergeCells count="64">
    <mergeCell ref="L9:M9"/>
    <mergeCell ref="V6:V8"/>
    <mergeCell ref="U7:U8"/>
    <mergeCell ref="S7:S8"/>
    <mergeCell ref="D10:D11"/>
    <mergeCell ref="E7:E11"/>
    <mergeCell ref="D7:D9"/>
    <mergeCell ref="S9:S11"/>
    <mergeCell ref="R9:R11"/>
    <mergeCell ref="O9:O11"/>
    <mergeCell ref="O7:O8"/>
    <mergeCell ref="V9:V11"/>
    <mergeCell ref="R7:R8"/>
    <mergeCell ref="N6:Q6"/>
    <mergeCell ref="W6:Y6"/>
    <mergeCell ref="T7:T8"/>
    <mergeCell ref="X9:X11"/>
    <mergeCell ref="Y9:Y11"/>
    <mergeCell ref="P7:P8"/>
    <mergeCell ref="R6:S6"/>
    <mergeCell ref="W9:W11"/>
    <mergeCell ref="T9:T11"/>
    <mergeCell ref="U9:U11"/>
    <mergeCell ref="Q9:Q11"/>
    <mergeCell ref="A3:G3"/>
    <mergeCell ref="H3:M3"/>
    <mergeCell ref="AC6:AI6"/>
    <mergeCell ref="N3:Q3"/>
    <mergeCell ref="N7:N8"/>
    <mergeCell ref="R3:V3"/>
    <mergeCell ref="A6:A8"/>
    <mergeCell ref="B6:E6"/>
    <mergeCell ref="AI7:AI8"/>
    <mergeCell ref="L7:M8"/>
    <mergeCell ref="Z6:AB6"/>
    <mergeCell ref="T6:U6"/>
    <mergeCell ref="F6:M6"/>
    <mergeCell ref="F7:K7"/>
    <mergeCell ref="Q7:Q8"/>
    <mergeCell ref="W3:AA3"/>
    <mergeCell ref="A9:A11"/>
    <mergeCell ref="F9:G9"/>
    <mergeCell ref="H9:I9"/>
    <mergeCell ref="J9:K9"/>
    <mergeCell ref="B10:B11"/>
    <mergeCell ref="B7:B9"/>
    <mergeCell ref="C7:C9"/>
    <mergeCell ref="F8:G8"/>
    <mergeCell ref="C10:C11"/>
    <mergeCell ref="H8:I8"/>
    <mergeCell ref="J8:K8"/>
    <mergeCell ref="AH7:AH8"/>
    <mergeCell ref="AB3:AI3"/>
    <mergeCell ref="AE7:AE8"/>
    <mergeCell ref="Z9:Z11"/>
    <mergeCell ref="AI9:AI11"/>
    <mergeCell ref="AC7:AC8"/>
    <mergeCell ref="AG7:AG8"/>
    <mergeCell ref="AG9:AG11"/>
    <mergeCell ref="AD9:AD11"/>
    <mergeCell ref="AE9:AE11"/>
    <mergeCell ref="AF9:AF11"/>
    <mergeCell ref="AC9:AC11"/>
    <mergeCell ref="AF7:AF8"/>
  </mergeCells>
  <phoneticPr fontId="33" type="noConversion"/>
  <pageMargins left="0.7086111307144165" right="0.7086111307144165" top="0.74750000238418579" bottom="0.74750000238418579" header="0.31486111879348755" footer="0.31486111879348755"/>
  <pageSetup paperSize="9" scale="45" orientation="portrait" r:id="rId1"/>
  <colBreaks count="1" manualBreakCount="1">
    <brk id="25" max="16383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0">
    <tabColor rgb="FFFFFFFF"/>
  </sheetPr>
  <dimension ref="A1:G30"/>
  <sheetViews>
    <sheetView topLeftCell="A13" zoomScale="85" zoomScaleNormal="85" zoomScaleSheetLayoutView="75" workbookViewId="0">
      <selection activeCell="K16" sqref="K16"/>
    </sheetView>
  </sheetViews>
  <sheetFormatPr defaultColWidth="8.88671875" defaultRowHeight="15"/>
  <cols>
    <col min="1" max="1" width="12.33203125" style="1" customWidth="1"/>
    <col min="2" max="2" width="11.6640625" style="1" customWidth="1"/>
    <col min="3" max="3" width="13.5546875" style="1" customWidth="1"/>
    <col min="4" max="4" width="14.88671875" style="1" customWidth="1"/>
    <col min="5" max="5" width="13.33203125" style="2" customWidth="1"/>
    <col min="6" max="6" width="10.109375" style="1" customWidth="1"/>
    <col min="7" max="16384" width="8.88671875" style="1"/>
  </cols>
  <sheetData>
    <row r="1" spans="1:6" ht="30" customHeight="1">
      <c r="A1" s="9" t="s">
        <v>7</v>
      </c>
      <c r="F1" s="27"/>
    </row>
    <row r="2" spans="1:6" ht="15" customHeight="1"/>
    <row r="3" spans="1:6" s="7" customFormat="1" ht="25.5" customHeight="1">
      <c r="A3" s="300" t="s">
        <v>39</v>
      </c>
      <c r="B3" s="300"/>
      <c r="C3" s="300"/>
      <c r="D3" s="300"/>
      <c r="E3" s="300"/>
      <c r="F3" s="300"/>
    </row>
    <row r="4" spans="1:6" s="7" customFormat="1" ht="25.5" customHeight="1">
      <c r="A4" s="300" t="s">
        <v>11</v>
      </c>
      <c r="B4" s="300"/>
      <c r="C4" s="300"/>
      <c r="D4" s="300"/>
      <c r="E4" s="300"/>
      <c r="F4" s="300"/>
    </row>
    <row r="5" spans="1:6" s="5" customFormat="1" ht="19.5" customHeight="1">
      <c r="A5" s="6" t="s">
        <v>174</v>
      </c>
      <c r="E5" s="301" t="s">
        <v>168</v>
      </c>
      <c r="F5" s="301"/>
    </row>
    <row r="6" spans="1:6" ht="36" customHeight="1">
      <c r="A6" s="302" t="s">
        <v>0</v>
      </c>
      <c r="B6" s="305" t="s">
        <v>91</v>
      </c>
      <c r="C6" s="26" t="s">
        <v>4</v>
      </c>
      <c r="D6" s="25"/>
      <c r="E6" s="25"/>
      <c r="F6" s="308" t="s">
        <v>44</v>
      </c>
    </row>
    <row r="7" spans="1:6" ht="18" customHeight="1">
      <c r="A7" s="303"/>
      <c r="B7" s="306"/>
      <c r="C7" s="14" t="s">
        <v>228</v>
      </c>
      <c r="D7" s="28" t="s">
        <v>227</v>
      </c>
      <c r="E7" s="28" t="s">
        <v>215</v>
      </c>
      <c r="F7" s="309"/>
    </row>
    <row r="8" spans="1:6" ht="18" customHeight="1">
      <c r="A8" s="304"/>
      <c r="B8" s="307"/>
      <c r="C8" s="29" t="s">
        <v>121</v>
      </c>
      <c r="D8" s="30" t="s">
        <v>56</v>
      </c>
      <c r="E8" s="30" t="s">
        <v>142</v>
      </c>
      <c r="F8" s="310"/>
    </row>
    <row r="9" spans="1:6" ht="9.75" customHeight="1">
      <c r="A9" s="16"/>
      <c r="F9" s="11"/>
    </row>
    <row r="10" spans="1:6" ht="24" customHeight="1">
      <c r="A10" s="12">
        <v>2013</v>
      </c>
      <c r="B10" s="19">
        <v>0</v>
      </c>
      <c r="C10" s="19">
        <v>4416917</v>
      </c>
      <c r="D10" s="19">
        <v>4399892</v>
      </c>
      <c r="E10" s="19">
        <v>17025</v>
      </c>
      <c r="F10" s="15">
        <v>2013</v>
      </c>
    </row>
    <row r="11" spans="1:6" ht="24" customHeight="1">
      <c r="A11" s="13">
        <v>2014</v>
      </c>
      <c r="B11" s="31">
        <v>0</v>
      </c>
      <c r="C11" s="31">
        <v>1502111</v>
      </c>
      <c r="D11" s="31">
        <v>1495681</v>
      </c>
      <c r="E11" s="31">
        <v>6430</v>
      </c>
      <c r="F11" s="23">
        <v>2014</v>
      </c>
    </row>
    <row r="12" spans="1:6" s="24" customFormat="1" ht="24" customHeight="1">
      <c r="A12" s="13">
        <v>2015</v>
      </c>
      <c r="B12" s="31">
        <v>0</v>
      </c>
      <c r="C12" s="31">
        <v>2847281</v>
      </c>
      <c r="D12" s="31">
        <v>2846636</v>
      </c>
      <c r="E12" s="31">
        <v>645</v>
      </c>
      <c r="F12" s="23">
        <v>2015</v>
      </c>
    </row>
    <row r="13" spans="1:6" s="22" customFormat="1" ht="24" customHeight="1">
      <c r="A13" s="13">
        <v>2016</v>
      </c>
      <c r="B13" s="31">
        <v>0</v>
      </c>
      <c r="C13" s="31">
        <v>2897984</v>
      </c>
      <c r="D13" s="31">
        <v>2893158</v>
      </c>
      <c r="E13" s="31">
        <v>4826</v>
      </c>
      <c r="F13" s="23">
        <v>2016</v>
      </c>
    </row>
    <row r="14" spans="1:6" s="22" customFormat="1" ht="24" customHeight="1">
      <c r="A14" s="12">
        <v>2017</v>
      </c>
      <c r="B14" s="19">
        <v>0</v>
      </c>
      <c r="C14" s="19">
        <v>3915654</v>
      </c>
      <c r="D14" s="19">
        <v>3910820</v>
      </c>
      <c r="E14" s="19">
        <v>4834</v>
      </c>
      <c r="F14" s="15">
        <v>2017</v>
      </c>
    </row>
    <row r="15" spans="1:6" s="21" customFormat="1" ht="24" customHeight="1">
      <c r="A15" s="34">
        <v>2018</v>
      </c>
      <c r="B15" s="35"/>
      <c r="C15" s="35"/>
      <c r="D15" s="35"/>
      <c r="E15" s="35"/>
      <c r="F15" s="36">
        <v>2018</v>
      </c>
    </row>
    <row r="16" spans="1:6" ht="30" customHeight="1">
      <c r="A16" s="12" t="s">
        <v>236</v>
      </c>
      <c r="B16" s="19"/>
      <c r="C16" s="18"/>
      <c r="D16" s="32"/>
      <c r="E16" s="33"/>
      <c r="F16" s="15" t="s">
        <v>122</v>
      </c>
    </row>
    <row r="17" spans="1:7" ht="30" customHeight="1">
      <c r="A17" s="12" t="s">
        <v>233</v>
      </c>
      <c r="B17" s="19"/>
      <c r="C17" s="18"/>
      <c r="D17" s="32"/>
      <c r="E17" s="33"/>
      <c r="F17" s="15" t="s">
        <v>115</v>
      </c>
    </row>
    <row r="18" spans="1:7" ht="30" customHeight="1">
      <c r="A18" s="12" t="s">
        <v>237</v>
      </c>
      <c r="B18" s="19"/>
      <c r="C18" s="18"/>
      <c r="D18" s="32"/>
      <c r="E18" s="33"/>
      <c r="F18" s="15" t="s">
        <v>133</v>
      </c>
    </row>
    <row r="19" spans="1:7" ht="30" customHeight="1">
      <c r="A19" s="12" t="s">
        <v>234</v>
      </c>
      <c r="B19" s="19"/>
      <c r="C19" s="18"/>
      <c r="D19" s="32"/>
      <c r="E19" s="33"/>
      <c r="F19" s="15" t="s">
        <v>141</v>
      </c>
    </row>
    <row r="20" spans="1:7" ht="30" customHeight="1">
      <c r="A20" s="12" t="s">
        <v>235</v>
      </c>
      <c r="B20" s="19"/>
      <c r="C20" s="18"/>
      <c r="D20" s="32"/>
      <c r="E20" s="33"/>
      <c r="F20" s="15" t="s">
        <v>111</v>
      </c>
    </row>
    <row r="21" spans="1:7" ht="30" customHeight="1">
      <c r="A21" s="12" t="s">
        <v>239</v>
      </c>
      <c r="B21" s="19"/>
      <c r="C21" s="18"/>
      <c r="D21" s="32"/>
      <c r="E21" s="33"/>
      <c r="F21" s="15" t="s">
        <v>136</v>
      </c>
    </row>
    <row r="22" spans="1:7" ht="30" customHeight="1">
      <c r="A22" s="12" t="s">
        <v>241</v>
      </c>
      <c r="B22" s="19"/>
      <c r="C22" s="18"/>
      <c r="D22" s="32"/>
      <c r="E22" s="33"/>
      <c r="F22" s="15" t="s">
        <v>110</v>
      </c>
    </row>
    <row r="23" spans="1:7" ht="30" customHeight="1">
      <c r="A23" s="12" t="s">
        <v>238</v>
      </c>
      <c r="B23" s="19"/>
      <c r="C23" s="18"/>
      <c r="D23" s="32"/>
      <c r="E23" s="33"/>
      <c r="F23" s="15" t="s">
        <v>117</v>
      </c>
      <c r="G23" s="20"/>
    </row>
    <row r="24" spans="1:7" ht="30" customHeight="1">
      <c r="A24" s="12" t="s">
        <v>240</v>
      </c>
      <c r="B24" s="19"/>
      <c r="C24" s="18"/>
      <c r="D24" s="32"/>
      <c r="E24" s="33"/>
      <c r="F24" s="15" t="s">
        <v>125</v>
      </c>
    </row>
    <row r="25" spans="1:7" ht="30" customHeight="1">
      <c r="A25" s="12" t="s">
        <v>175</v>
      </c>
      <c r="B25" s="19"/>
      <c r="C25" s="18"/>
      <c r="D25" s="32"/>
      <c r="E25" s="33"/>
      <c r="F25" s="15" t="s">
        <v>113</v>
      </c>
    </row>
    <row r="26" spans="1:7" ht="30" customHeight="1">
      <c r="A26" s="12" t="s">
        <v>177</v>
      </c>
      <c r="B26" s="19"/>
      <c r="C26" s="18"/>
      <c r="D26" s="32"/>
      <c r="E26" s="33"/>
      <c r="F26" s="15" t="s">
        <v>106</v>
      </c>
    </row>
    <row r="27" spans="1:7" ht="30" customHeight="1">
      <c r="A27" s="12" t="s">
        <v>176</v>
      </c>
      <c r="B27" s="19"/>
      <c r="C27" s="18"/>
      <c r="D27" s="32"/>
      <c r="E27" s="33"/>
      <c r="F27" s="15" t="s">
        <v>120</v>
      </c>
    </row>
    <row r="28" spans="1:7" ht="9.75" customHeight="1">
      <c r="A28" s="4"/>
      <c r="B28" s="3"/>
      <c r="C28" s="17"/>
      <c r="D28" s="3"/>
      <c r="E28" s="3"/>
      <c r="F28" s="8"/>
    </row>
    <row r="29" spans="1:7">
      <c r="A29" s="6" t="s">
        <v>40</v>
      </c>
      <c r="F29" s="6"/>
    </row>
    <row r="30" spans="1:7">
      <c r="A30" s="5" t="s">
        <v>41</v>
      </c>
      <c r="B30" s="10"/>
      <c r="C30" s="10"/>
    </row>
  </sheetData>
  <mergeCells count="6">
    <mergeCell ref="A3:F3"/>
    <mergeCell ref="A4:F4"/>
    <mergeCell ref="E5:F5"/>
    <mergeCell ref="A6:A8"/>
    <mergeCell ref="B6:B8"/>
    <mergeCell ref="F6:F8"/>
  </mergeCells>
  <phoneticPr fontId="33" type="noConversion"/>
  <pageMargins left="0.7086111307144165" right="0.7086111307144165" top="0.62986111640930176" bottom="0.51138889789581299" header="0.31486111879348755" footer="0.3148611187934875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>
    <tabColor rgb="FF315F97"/>
  </sheetPr>
  <dimension ref="A1:F32"/>
  <sheetViews>
    <sheetView view="pageBreakPreview" zoomScaleNormal="100" zoomScaleSheetLayoutView="100" workbookViewId="0">
      <selection activeCell="J16" sqref="J16"/>
    </sheetView>
  </sheetViews>
  <sheetFormatPr defaultColWidth="8.88671875" defaultRowHeight="13.5"/>
  <cols>
    <col min="1" max="4" width="12.77734375" style="50" customWidth="1"/>
    <col min="5" max="5" width="12.77734375" style="49" customWidth="1"/>
    <col min="6" max="16384" width="8.88671875" style="50"/>
  </cols>
  <sheetData>
    <row r="1" spans="1:5" ht="20.100000000000001" customHeight="1">
      <c r="A1" s="47" t="s">
        <v>163</v>
      </c>
      <c r="E1" s="48" t="s">
        <v>19</v>
      </c>
    </row>
    <row r="2" spans="1:5" ht="20.100000000000001" customHeight="1"/>
    <row r="3" spans="1:5" s="73" customFormat="1" ht="25.5" customHeight="1">
      <c r="A3" s="252" t="s">
        <v>164</v>
      </c>
      <c r="B3" s="252"/>
      <c r="C3" s="252"/>
      <c r="D3" s="252"/>
      <c r="E3" s="252"/>
    </row>
    <row r="4" spans="1:5" s="73" customFormat="1" ht="25.5" customHeight="1">
      <c r="A4" s="253" t="s">
        <v>80</v>
      </c>
      <c r="B4" s="253"/>
      <c r="C4" s="253"/>
      <c r="D4" s="253"/>
      <c r="E4" s="253"/>
    </row>
    <row r="5" spans="1:5" s="73" customFormat="1" ht="20.100000000000001" customHeight="1">
      <c r="A5" s="95"/>
      <c r="B5" s="95"/>
      <c r="C5" s="95"/>
      <c r="D5" s="95"/>
      <c r="E5" s="95"/>
    </row>
    <row r="6" spans="1:5" s="64" customFormat="1" ht="15.95" customHeight="1">
      <c r="A6" s="64" t="s">
        <v>144</v>
      </c>
      <c r="E6" s="110" t="s">
        <v>168</v>
      </c>
    </row>
    <row r="7" spans="1:5" ht="20.100000000000001" customHeight="1">
      <c r="A7" s="254" t="s">
        <v>165</v>
      </c>
      <c r="B7" s="298" t="s">
        <v>91</v>
      </c>
      <c r="C7" s="80" t="s">
        <v>3</v>
      </c>
      <c r="D7" s="61"/>
      <c r="E7" s="61"/>
    </row>
    <row r="8" spans="1:5" ht="20.100000000000001" customHeight="1">
      <c r="A8" s="255"/>
      <c r="B8" s="272"/>
      <c r="C8" s="81" t="s">
        <v>228</v>
      </c>
      <c r="D8" s="65" t="s">
        <v>227</v>
      </c>
      <c r="E8" s="65" t="s">
        <v>215</v>
      </c>
    </row>
    <row r="9" spans="1:5" ht="20.100000000000001" customHeight="1">
      <c r="A9" s="256"/>
      <c r="B9" s="273"/>
      <c r="C9" s="71" t="s">
        <v>121</v>
      </c>
      <c r="D9" s="66" t="s">
        <v>56</v>
      </c>
      <c r="E9" s="66" t="s">
        <v>142</v>
      </c>
    </row>
    <row r="10" spans="1:5" ht="20.100000000000001" customHeight="1">
      <c r="A10" s="77"/>
    </row>
    <row r="11" spans="1:5" s="191" customFormat="1" ht="20.100000000000001" customHeight="1">
      <c r="A11" s="153">
        <v>2019</v>
      </c>
      <c r="B11" s="189" t="s">
        <v>226</v>
      </c>
      <c r="C11" s="190">
        <v>2950917</v>
      </c>
      <c r="D11" s="190">
        <v>2946491</v>
      </c>
      <c r="E11" s="190">
        <v>4426</v>
      </c>
    </row>
    <row r="12" spans="1:5" s="191" customFormat="1" ht="20.100000000000001" customHeight="1">
      <c r="A12" s="153">
        <v>2020</v>
      </c>
      <c r="B12" s="189">
        <v>7</v>
      </c>
      <c r="C12" s="190">
        <v>1714303</v>
      </c>
      <c r="D12" s="190">
        <v>1714048</v>
      </c>
      <c r="E12" s="190">
        <v>255</v>
      </c>
    </row>
    <row r="13" spans="1:5" s="192" customFormat="1" ht="20.100000000000001" customHeight="1">
      <c r="A13" s="153">
        <v>2021</v>
      </c>
      <c r="B13" s="189"/>
      <c r="C13" s="190">
        <v>1162992</v>
      </c>
      <c r="D13" s="190">
        <v>1162991</v>
      </c>
      <c r="E13" s="190">
        <v>1</v>
      </c>
    </row>
    <row r="14" spans="1:5" s="192" customFormat="1" ht="20.100000000000001" customHeight="1">
      <c r="A14" s="153">
        <v>2022</v>
      </c>
      <c r="B14" s="189"/>
      <c r="C14" s="190">
        <v>1317980</v>
      </c>
      <c r="D14" s="190">
        <v>1317980</v>
      </c>
      <c r="E14" s="190"/>
    </row>
    <row r="15" spans="1:5" s="195" customFormat="1" ht="20.100000000000001" customHeight="1">
      <c r="A15" s="159">
        <v>2023</v>
      </c>
      <c r="B15" s="193">
        <v>17</v>
      </c>
      <c r="C15" s="194">
        <v>1061446</v>
      </c>
      <c r="D15" s="194">
        <f>(C15-E15)</f>
        <v>1061404</v>
      </c>
      <c r="E15" s="194">
        <v>42</v>
      </c>
    </row>
    <row r="16" spans="1:5" s="195" customFormat="1" ht="20.100000000000001" customHeight="1">
      <c r="A16" s="196"/>
      <c r="B16" s="197"/>
      <c r="C16" s="198"/>
      <c r="D16" s="198"/>
      <c r="E16" s="198"/>
    </row>
    <row r="17" spans="1:6" s="157" customFormat="1" ht="20.100000000000001" customHeight="1">
      <c r="A17" s="167" t="s">
        <v>214</v>
      </c>
      <c r="B17" s="199">
        <v>33275</v>
      </c>
      <c r="C17" s="199">
        <v>33275</v>
      </c>
      <c r="D17" s="200">
        <f>(C17-E17)</f>
        <v>33275</v>
      </c>
      <c r="E17" s="188">
        <v>0</v>
      </c>
    </row>
    <row r="18" spans="1:6" s="157" customFormat="1" ht="20.100000000000001" customHeight="1">
      <c r="A18" s="167" t="s">
        <v>220</v>
      </c>
      <c r="B18" s="199">
        <v>38953</v>
      </c>
      <c r="C18" s="199">
        <v>38953</v>
      </c>
      <c r="D18" s="200">
        <f t="shared" ref="D18:D28" si="0">(C18-E18)</f>
        <v>38953</v>
      </c>
      <c r="E18" s="188">
        <v>0</v>
      </c>
    </row>
    <row r="19" spans="1:6" s="157" customFormat="1" ht="20.100000000000001" customHeight="1">
      <c r="A19" s="167" t="s">
        <v>225</v>
      </c>
      <c r="B19" s="199">
        <v>58815</v>
      </c>
      <c r="C19" s="199">
        <v>58815</v>
      </c>
      <c r="D19" s="200">
        <f t="shared" si="0"/>
        <v>58815</v>
      </c>
      <c r="E19" s="188">
        <v>0</v>
      </c>
    </row>
    <row r="20" spans="1:6" s="157" customFormat="1" ht="20.100000000000001" customHeight="1">
      <c r="A20" s="167" t="s">
        <v>212</v>
      </c>
      <c r="B20" s="199">
        <v>79396</v>
      </c>
      <c r="C20" s="199">
        <v>79396</v>
      </c>
      <c r="D20" s="200">
        <f t="shared" si="0"/>
        <v>79393</v>
      </c>
      <c r="E20" s="188">
        <v>3</v>
      </c>
    </row>
    <row r="21" spans="1:6" s="157" customFormat="1" ht="20.100000000000001" customHeight="1">
      <c r="A21" s="167" t="s">
        <v>219</v>
      </c>
      <c r="B21" s="199">
        <v>369108</v>
      </c>
      <c r="C21" s="199">
        <v>369108</v>
      </c>
      <c r="D21" s="200">
        <f t="shared" si="0"/>
        <v>369108</v>
      </c>
      <c r="E21" s="188">
        <v>0</v>
      </c>
    </row>
    <row r="22" spans="1:6" s="157" customFormat="1" ht="20.100000000000001" customHeight="1">
      <c r="A22" s="167" t="s">
        <v>224</v>
      </c>
      <c r="B22" s="199">
        <v>95332</v>
      </c>
      <c r="C22" s="199">
        <v>95332</v>
      </c>
      <c r="D22" s="200">
        <f t="shared" si="0"/>
        <v>95332</v>
      </c>
      <c r="E22" s="188">
        <v>0</v>
      </c>
    </row>
    <row r="23" spans="1:6" s="157" customFormat="1" ht="20.100000000000001" customHeight="1">
      <c r="A23" s="167" t="s">
        <v>229</v>
      </c>
      <c r="B23" s="199">
        <v>53088</v>
      </c>
      <c r="C23" s="199">
        <v>53088</v>
      </c>
      <c r="D23" s="200">
        <f t="shared" si="0"/>
        <v>53087</v>
      </c>
      <c r="E23" s="188">
        <v>1</v>
      </c>
    </row>
    <row r="24" spans="1:6" s="157" customFormat="1" ht="20.100000000000001" customHeight="1">
      <c r="A24" s="167" t="s">
        <v>231</v>
      </c>
      <c r="B24" s="199">
        <v>77125</v>
      </c>
      <c r="C24" s="199">
        <v>77125</v>
      </c>
      <c r="D24" s="200">
        <f t="shared" si="0"/>
        <v>77125</v>
      </c>
      <c r="E24" s="188">
        <v>0</v>
      </c>
      <c r="F24" s="201"/>
    </row>
    <row r="25" spans="1:6" s="157" customFormat="1" ht="20.100000000000001" customHeight="1">
      <c r="A25" s="167" t="s">
        <v>222</v>
      </c>
      <c r="B25" s="199">
        <v>59144</v>
      </c>
      <c r="C25" s="199">
        <v>59144</v>
      </c>
      <c r="D25" s="200">
        <f t="shared" si="0"/>
        <v>59130</v>
      </c>
      <c r="E25" s="188">
        <v>14</v>
      </c>
    </row>
    <row r="26" spans="1:6" s="157" customFormat="1" ht="20.100000000000001" customHeight="1">
      <c r="A26" s="167" t="s">
        <v>195</v>
      </c>
      <c r="B26" s="199">
        <v>116968</v>
      </c>
      <c r="C26" s="199">
        <v>116968</v>
      </c>
      <c r="D26" s="200">
        <f t="shared" si="0"/>
        <v>116966</v>
      </c>
      <c r="E26" s="188">
        <v>2</v>
      </c>
    </row>
    <row r="27" spans="1:6" s="157" customFormat="1" ht="20.100000000000001" customHeight="1">
      <c r="A27" s="167" t="s">
        <v>179</v>
      </c>
      <c r="B27" s="199">
        <v>43759</v>
      </c>
      <c r="C27" s="199">
        <v>43759</v>
      </c>
      <c r="D27" s="200">
        <f t="shared" si="0"/>
        <v>43737</v>
      </c>
      <c r="E27" s="188">
        <v>22</v>
      </c>
    </row>
    <row r="28" spans="1:6" s="157" customFormat="1" ht="20.100000000000001" customHeight="1">
      <c r="A28" s="167" t="s">
        <v>194</v>
      </c>
      <c r="B28" s="199">
        <v>36483</v>
      </c>
      <c r="C28" s="199">
        <v>36483</v>
      </c>
      <c r="D28" s="200">
        <f t="shared" si="0"/>
        <v>36483</v>
      </c>
      <c r="E28" s="188">
        <v>0</v>
      </c>
    </row>
    <row r="29" spans="1:6" ht="20.100000000000001" customHeight="1">
      <c r="A29" s="74"/>
      <c r="B29" s="60"/>
      <c r="C29" s="106"/>
      <c r="D29" s="60"/>
      <c r="E29" s="60"/>
    </row>
    <row r="30" spans="1:6" ht="15.95" customHeight="1">
      <c r="A30" s="64" t="s">
        <v>53</v>
      </c>
    </row>
    <row r="31" spans="1:6" ht="15.95" customHeight="1">
      <c r="A31" s="64" t="s">
        <v>43</v>
      </c>
      <c r="B31" s="79"/>
      <c r="C31" s="79"/>
    </row>
    <row r="32" spans="1:6" ht="15.75" customHeight="1">
      <c r="A32" s="64" t="s">
        <v>42</v>
      </c>
    </row>
  </sheetData>
  <mergeCells count="4">
    <mergeCell ref="A3:E3"/>
    <mergeCell ref="A4:E4"/>
    <mergeCell ref="A7:A9"/>
    <mergeCell ref="B7:B9"/>
  </mergeCells>
  <phoneticPr fontId="33" type="noConversion"/>
  <pageMargins left="0.7086111307144165" right="0.7086111307144165" top="0.62986111640930176" bottom="0.51138889789581299" header="0.31486111879348755" footer="0.3148611187934875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13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 지정된 범위</vt:lpstr>
      </vt:variant>
      <vt:variant>
        <vt:i4>5</vt:i4>
      </vt:variant>
    </vt:vector>
  </HeadingPairs>
  <TitlesOfParts>
    <vt:vector size="13" baseType="lpstr">
      <vt:lpstr>------</vt:lpstr>
      <vt:lpstr>목록</vt:lpstr>
      <vt:lpstr>1. 자동차등록</vt:lpstr>
      <vt:lpstr>2. 영업용자동차업종별수송</vt:lpstr>
      <vt:lpstr>3.철도수송</vt:lpstr>
      <vt:lpstr>4.관광사업체등록</vt:lpstr>
      <vt:lpstr>8.관광객수</vt:lpstr>
      <vt:lpstr>5.주요관광지방문객수</vt:lpstr>
      <vt:lpstr>'2. 영업용자동차업종별수송'!Print_Area</vt:lpstr>
      <vt:lpstr>'3.철도수송'!Print_Area</vt:lpstr>
      <vt:lpstr>'4.관광사업체등록'!Print_Area</vt:lpstr>
      <vt:lpstr>'5.주요관광지방문객수'!Print_Area</vt:lpstr>
      <vt:lpstr>목록!Print_Area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이춘식</dc:creator>
  <cp:lastModifiedBy>User</cp:lastModifiedBy>
  <cp:revision>24</cp:revision>
  <cp:lastPrinted>2022-08-10T09:00:34Z</cp:lastPrinted>
  <dcterms:created xsi:type="dcterms:W3CDTF">1997-07-12T01:40:32Z</dcterms:created>
  <dcterms:modified xsi:type="dcterms:W3CDTF">2025-08-28T08:50:48Z</dcterms:modified>
  <cp:version>1100.0100.01</cp:version>
</cp:coreProperties>
</file>